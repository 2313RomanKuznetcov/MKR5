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trlProps/ctrlProp2.xml" ContentType="application/vnd.ms-excel.controlproperti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3.xml" ContentType="application/vnd.ms-excel.controlpropertie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7.xml" ContentType="application/vnd.openxmlformats-officedocument.drawing+xml"/>
  <Override PartName="/xl/ctrlProps/ctrlProp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Пользователь\Desktop\"/>
    </mc:Choice>
  </mc:AlternateContent>
  <bookViews>
    <workbookView xWindow="0" yWindow="0" windowWidth="51600" windowHeight="17835" activeTab="1"/>
  </bookViews>
  <sheets>
    <sheet name="ro_const_p_215" sheetId="1" r:id="rId1"/>
    <sheet name="ro_var_p_215" sheetId="2" r:id="rId2"/>
    <sheet name="ro_const_p_105" sheetId="3" r:id="rId3"/>
    <sheet name="ro_var_p_105" sheetId="4" r:id="rId4"/>
  </sheets>
  <calcPr calcId="152511"/>
</workbook>
</file>

<file path=xl/calcChain.xml><?xml version="1.0" encoding="utf-8"?>
<calcChain xmlns="http://schemas.openxmlformats.org/spreadsheetml/2006/main">
  <c r="Q13" i="4" l="1"/>
  <c r="Q19" i="4"/>
  <c r="Q14" i="4"/>
  <c r="Q17" i="4"/>
  <c r="Q18" i="4" s="1"/>
  <c r="Q21" i="4" s="1"/>
  <c r="P13" i="4"/>
  <c r="P17" i="4" s="1"/>
  <c r="P18" i="4" s="1"/>
  <c r="O13" i="4"/>
  <c r="O17" i="4" s="1"/>
  <c r="O18" i="4" s="1"/>
  <c r="N13" i="4"/>
  <c r="N17" i="4" s="1"/>
  <c r="N18" i="4" s="1"/>
  <c r="N19" i="4" s="1"/>
  <c r="N21" i="4" s="1"/>
  <c r="M13" i="4"/>
  <c r="M17" i="4" s="1"/>
  <c r="M18" i="4" s="1"/>
  <c r="M19" i="4" s="1"/>
  <c r="M21" i="4" s="1"/>
  <c r="L13" i="4"/>
  <c r="L17" i="4" s="1"/>
  <c r="L18" i="4" s="1"/>
  <c r="K13" i="4"/>
  <c r="K17" i="4" s="1"/>
  <c r="K18" i="4" s="1"/>
  <c r="J13" i="4"/>
  <c r="J17" i="4" s="1"/>
  <c r="J18" i="4" s="1"/>
  <c r="J19" i="4" s="1"/>
  <c r="J21" i="4" s="1"/>
  <c r="I13" i="4"/>
  <c r="I17" i="4" s="1"/>
  <c r="I18" i="4" s="1"/>
  <c r="I19" i="4" s="1"/>
  <c r="I21" i="4" s="1"/>
  <c r="H13" i="4"/>
  <c r="H17" i="4" s="1"/>
  <c r="H18" i="4" s="1"/>
  <c r="Q4" i="4"/>
  <c r="G4" i="4"/>
  <c r="C4" i="4"/>
  <c r="H3" i="4"/>
  <c r="I3" i="4" s="1"/>
  <c r="H2" i="4"/>
  <c r="I2" i="4" s="1"/>
  <c r="J2" i="4" s="1"/>
  <c r="K2" i="4" s="1"/>
  <c r="L2" i="4" s="1"/>
  <c r="M2" i="4" s="1"/>
  <c r="N2" i="4" s="1"/>
  <c r="O2" i="4" s="1"/>
  <c r="P2" i="4" s="1"/>
  <c r="Q2" i="4" s="1"/>
  <c r="Q14" i="3"/>
  <c r="Q13" i="3"/>
  <c r="Q17" i="3" s="1"/>
  <c r="Q18" i="3" s="1"/>
  <c r="P13" i="3"/>
  <c r="P17" i="3" s="1"/>
  <c r="P18" i="3" s="1"/>
  <c r="O13" i="3"/>
  <c r="N13" i="3"/>
  <c r="M13" i="3"/>
  <c r="M17" i="3" s="1"/>
  <c r="M18" i="3" s="1"/>
  <c r="L13" i="3"/>
  <c r="L17" i="3" s="1"/>
  <c r="L18" i="3" s="1"/>
  <c r="K13" i="3"/>
  <c r="J13" i="3"/>
  <c r="I13" i="3"/>
  <c r="I17" i="3" s="1"/>
  <c r="I18" i="3" s="1"/>
  <c r="H13" i="3"/>
  <c r="H17" i="3" s="1"/>
  <c r="H18" i="3" s="1"/>
  <c r="Q4" i="3"/>
  <c r="G4" i="3"/>
  <c r="C4" i="3"/>
  <c r="H2" i="3" s="1"/>
  <c r="I2" i="3" s="1"/>
  <c r="J2" i="3" s="1"/>
  <c r="K2" i="3" s="1"/>
  <c r="L2" i="3" s="1"/>
  <c r="M2" i="3" s="1"/>
  <c r="N2" i="3" s="1"/>
  <c r="O2" i="3" s="1"/>
  <c r="P2" i="3" s="1"/>
  <c r="Q2" i="3" s="1"/>
  <c r="H3" i="3"/>
  <c r="I3" i="3" s="1"/>
  <c r="I4" i="3" s="1"/>
  <c r="Q14" i="2"/>
  <c r="Q13" i="2"/>
  <c r="Q17" i="2" s="1"/>
  <c r="Q18" i="2" s="1"/>
  <c r="P13" i="2"/>
  <c r="O13" i="2"/>
  <c r="O17" i="2" s="1"/>
  <c r="O18" i="2" s="1"/>
  <c r="N13" i="2"/>
  <c r="M13" i="2"/>
  <c r="L13" i="2"/>
  <c r="L17" i="2" s="1"/>
  <c r="L18" i="2" s="1"/>
  <c r="K13" i="2"/>
  <c r="K17" i="2" s="1"/>
  <c r="K18" i="2" s="1"/>
  <c r="J13" i="2"/>
  <c r="J17" i="2" s="1"/>
  <c r="J18" i="2" s="1"/>
  <c r="I13" i="2"/>
  <c r="I17" i="2" s="1"/>
  <c r="I18" i="2" s="1"/>
  <c r="H13" i="2"/>
  <c r="H17" i="2" s="1"/>
  <c r="H18" i="2" s="1"/>
  <c r="Q4" i="2"/>
  <c r="G4" i="2"/>
  <c r="C4" i="2"/>
  <c r="H3" i="2"/>
  <c r="H4" i="2" s="1"/>
  <c r="H2" i="2"/>
  <c r="I2" i="2" s="1"/>
  <c r="J2" i="2" s="1"/>
  <c r="K2" i="2" s="1"/>
  <c r="L2" i="2" s="1"/>
  <c r="M2" i="2" s="1"/>
  <c r="N2" i="2" s="1"/>
  <c r="O2" i="2" s="1"/>
  <c r="P2" i="2" s="1"/>
  <c r="Q2" i="2" s="1"/>
  <c r="Q14" i="1"/>
  <c r="M13" i="1"/>
  <c r="M17" i="1" s="1"/>
  <c r="M18" i="1" s="1"/>
  <c r="M19" i="1" s="1"/>
  <c r="L13" i="1"/>
  <c r="K13" i="1"/>
  <c r="J13" i="1"/>
  <c r="J10" i="1" s="1"/>
  <c r="I13" i="1"/>
  <c r="I17" i="1" s="1"/>
  <c r="I18" i="1" s="1"/>
  <c r="I19" i="1" s="1"/>
  <c r="N13" i="1"/>
  <c r="O13" i="1"/>
  <c r="P13" i="1"/>
  <c r="P17" i="1" s="1"/>
  <c r="P18" i="1" s="1"/>
  <c r="P19" i="1" s="1"/>
  <c r="Q13" i="1"/>
  <c r="Q17" i="1" s="1"/>
  <c r="Q18" i="1" s="1"/>
  <c r="Q19" i="1" s="1"/>
  <c r="H13" i="1"/>
  <c r="H4" i="1"/>
  <c r="G13" i="1" s="1"/>
  <c r="G14" i="1" s="1"/>
  <c r="I4" i="1"/>
  <c r="J4" i="1"/>
  <c r="K4" i="1"/>
  <c r="L4" i="1"/>
  <c r="M4" i="1"/>
  <c r="N4" i="1"/>
  <c r="Q4" i="1"/>
  <c r="G4" i="1"/>
  <c r="I3" i="1"/>
  <c r="J3" i="1"/>
  <c r="K3" i="1" s="1"/>
  <c r="L3" i="1" s="1"/>
  <c r="M3" i="1" s="1"/>
  <c r="N3" i="1" s="1"/>
  <c r="O3" i="1" s="1"/>
  <c r="P3" i="1" s="1"/>
  <c r="P4" i="1" s="1"/>
  <c r="H3" i="1"/>
  <c r="C4" i="1"/>
  <c r="H2" i="1" s="1"/>
  <c r="I2" i="1" s="1"/>
  <c r="J2" i="1" s="1"/>
  <c r="K2" i="1" s="1"/>
  <c r="L2" i="1" s="1"/>
  <c r="M2" i="1" s="1"/>
  <c r="N2" i="1" s="1"/>
  <c r="O2" i="1" s="1"/>
  <c r="P2" i="1" s="1"/>
  <c r="Q2" i="1" s="1"/>
  <c r="I4" i="4" l="1"/>
  <c r="J3" i="4"/>
  <c r="K3" i="4" s="1"/>
  <c r="H4" i="3"/>
  <c r="G13" i="3" s="1"/>
  <c r="I3" i="2"/>
  <c r="H4" i="4"/>
  <c r="G13" i="4" s="1"/>
  <c r="O4" i="1"/>
  <c r="O10" i="1" s="1"/>
  <c r="H10" i="1"/>
  <c r="G10" i="1"/>
  <c r="I10" i="4"/>
  <c r="K19" i="4"/>
  <c r="K21" i="4" s="1"/>
  <c r="K20" i="4" s="1"/>
  <c r="Q10" i="4"/>
  <c r="O19" i="4"/>
  <c r="O21" i="4" s="1"/>
  <c r="O20" i="4" s="1"/>
  <c r="I22" i="4"/>
  <c r="I20" i="4"/>
  <c r="Q22" i="4"/>
  <c r="Q23" i="4" s="1"/>
  <c r="Q20" i="4"/>
  <c r="J22" i="4"/>
  <c r="J20" i="4"/>
  <c r="L3" i="4"/>
  <c r="K4" i="4"/>
  <c r="K10" i="4" s="1"/>
  <c r="Q15" i="4"/>
  <c r="G14" i="4"/>
  <c r="G17" i="4"/>
  <c r="G18" i="4" s="1"/>
  <c r="G19" i="4" s="1"/>
  <c r="G21" i="4" s="1"/>
  <c r="N22" i="4"/>
  <c r="N20" i="4"/>
  <c r="M22" i="4"/>
  <c r="M20" i="4"/>
  <c r="G10" i="4"/>
  <c r="H10" i="4"/>
  <c r="H11" i="4" s="1"/>
  <c r="H14" i="4" s="1"/>
  <c r="J4" i="4"/>
  <c r="J10" i="4" s="1"/>
  <c r="H19" i="4"/>
  <c r="H21" i="4" s="1"/>
  <c r="L19" i="4"/>
  <c r="L21" i="4" s="1"/>
  <c r="P19" i="4"/>
  <c r="P21" i="4" s="1"/>
  <c r="I10" i="3"/>
  <c r="Q10" i="3"/>
  <c r="O17" i="3"/>
  <c r="O18" i="3" s="1"/>
  <c r="O19" i="3" s="1"/>
  <c r="K17" i="3"/>
  <c r="K18" i="3" s="1"/>
  <c r="K19" i="3" s="1"/>
  <c r="G14" i="3"/>
  <c r="G10" i="3"/>
  <c r="G17" i="3"/>
  <c r="G18" i="3" s="1"/>
  <c r="G19" i="3" s="1"/>
  <c r="I19" i="3"/>
  <c r="M19" i="3"/>
  <c r="Q19" i="3"/>
  <c r="J3" i="3"/>
  <c r="H10" i="3"/>
  <c r="J17" i="3"/>
  <c r="J18" i="3" s="1"/>
  <c r="J19" i="3" s="1"/>
  <c r="N17" i="3"/>
  <c r="N18" i="3" s="1"/>
  <c r="N19" i="3" s="1"/>
  <c r="H19" i="3"/>
  <c r="L19" i="3"/>
  <c r="P19" i="3"/>
  <c r="Q15" i="2"/>
  <c r="Q10" i="2"/>
  <c r="J19" i="2"/>
  <c r="J21" i="2" s="1"/>
  <c r="N17" i="2"/>
  <c r="I19" i="2"/>
  <c r="I21" i="2" s="1"/>
  <c r="Q19" i="2"/>
  <c r="Q21" i="2" s="1"/>
  <c r="M17" i="2"/>
  <c r="G13" i="2"/>
  <c r="H10" i="2"/>
  <c r="H19" i="2"/>
  <c r="H21" i="2" s="1"/>
  <c r="L19" i="2"/>
  <c r="L21" i="2" s="1"/>
  <c r="K19" i="2"/>
  <c r="K21" i="2" s="1"/>
  <c r="O19" i="2"/>
  <c r="O21" i="2" s="1"/>
  <c r="P17" i="2"/>
  <c r="J17" i="1"/>
  <c r="J18" i="1" s="1"/>
  <c r="J19" i="1" s="1"/>
  <c r="P10" i="1"/>
  <c r="Q10" i="1"/>
  <c r="G17" i="1"/>
  <c r="G18" i="1" s="1"/>
  <c r="G19" i="1" s="1"/>
  <c r="I10" i="1"/>
  <c r="I11" i="1" s="1"/>
  <c r="I14" i="1" s="1"/>
  <c r="M10" i="1"/>
  <c r="L10" i="1"/>
  <c r="N17" i="1"/>
  <c r="N18" i="1" s="1"/>
  <c r="N19" i="1" s="1"/>
  <c r="N10" i="1"/>
  <c r="L17" i="1"/>
  <c r="L18" i="1" s="1"/>
  <c r="L19" i="1" s="1"/>
  <c r="O17" i="1"/>
  <c r="O18" i="1" s="1"/>
  <c r="O19" i="1" s="1"/>
  <c r="K17" i="1"/>
  <c r="K18" i="1" s="1"/>
  <c r="K19" i="1" s="1"/>
  <c r="H17" i="1"/>
  <c r="H18" i="1" s="1"/>
  <c r="H19" i="1" s="1"/>
  <c r="K10" i="1"/>
  <c r="J11" i="1" s="1"/>
  <c r="J14" i="1" s="1"/>
  <c r="I4" i="2" l="1"/>
  <c r="I10" i="2" s="1"/>
  <c r="H11" i="2" s="1"/>
  <c r="H14" i="2" s="1"/>
  <c r="H15" i="2" s="1"/>
  <c r="J3" i="2"/>
  <c r="H11" i="1"/>
  <c r="H14" i="1" s="1"/>
  <c r="K22" i="4"/>
  <c r="O22" i="4"/>
  <c r="J11" i="4"/>
  <c r="J14" i="4" s="1"/>
  <c r="J15" i="4" s="1"/>
  <c r="H15" i="4"/>
  <c r="G20" i="4"/>
  <c r="G22" i="4"/>
  <c r="G23" i="4" s="1"/>
  <c r="H20" i="4"/>
  <c r="H22" i="4"/>
  <c r="H23" i="4" s="1"/>
  <c r="G15" i="4"/>
  <c r="L4" i="4"/>
  <c r="L10" i="4" s="1"/>
  <c r="K11" i="4" s="1"/>
  <c r="K14" i="4" s="1"/>
  <c r="M3" i="4"/>
  <c r="L20" i="4"/>
  <c r="L22" i="4"/>
  <c r="P20" i="4"/>
  <c r="P22" i="4"/>
  <c r="I11" i="4"/>
  <c r="I14" i="4" s="1"/>
  <c r="H11" i="3"/>
  <c r="H14" i="3" s="1"/>
  <c r="K3" i="3"/>
  <c r="J4" i="3"/>
  <c r="J10" i="3" s="1"/>
  <c r="G10" i="2"/>
  <c r="N18" i="2"/>
  <c r="N19" i="2" s="1"/>
  <c r="N21" i="2" s="1"/>
  <c r="N22" i="2" s="1"/>
  <c r="M18" i="2"/>
  <c r="M19" i="2" s="1"/>
  <c r="M21" i="2" s="1"/>
  <c r="M20" i="2" s="1"/>
  <c r="P18" i="2"/>
  <c r="P19" i="2" s="1"/>
  <c r="P21" i="2" s="1"/>
  <c r="P22" i="2" s="1"/>
  <c r="L22" i="2"/>
  <c r="L20" i="2"/>
  <c r="J20" i="2"/>
  <c r="J22" i="2"/>
  <c r="K22" i="2"/>
  <c r="K20" i="2"/>
  <c r="O22" i="2"/>
  <c r="O20" i="2"/>
  <c r="I20" i="2"/>
  <c r="I22" i="2"/>
  <c r="Q20" i="2"/>
  <c r="Q22" i="2"/>
  <c r="Q23" i="2" s="1"/>
  <c r="H22" i="2"/>
  <c r="H20" i="2"/>
  <c r="G17" i="2"/>
  <c r="O11" i="1"/>
  <c r="O14" i="1" s="1"/>
  <c r="P11" i="1"/>
  <c r="P14" i="1" s="1"/>
  <c r="L11" i="1"/>
  <c r="L14" i="1" s="1"/>
  <c r="M11" i="1"/>
  <c r="M14" i="1" s="1"/>
  <c r="N11" i="1"/>
  <c r="N14" i="1" s="1"/>
  <c r="K11" i="1"/>
  <c r="K14" i="1" s="1"/>
  <c r="K3" i="2" l="1"/>
  <c r="J4" i="2"/>
  <c r="J10" i="2" s="1"/>
  <c r="J23" i="4"/>
  <c r="K15" i="4"/>
  <c r="K23" i="4"/>
  <c r="I15" i="4"/>
  <c r="I23" i="4"/>
  <c r="M4" i="4"/>
  <c r="M10" i="4" s="1"/>
  <c r="N3" i="4"/>
  <c r="I11" i="3"/>
  <c r="I14" i="3" s="1"/>
  <c r="L3" i="3"/>
  <c r="K4" i="3"/>
  <c r="K10" i="3" s="1"/>
  <c r="H23" i="2"/>
  <c r="M22" i="2"/>
  <c r="P20" i="2"/>
  <c r="N20" i="2"/>
  <c r="G18" i="2"/>
  <c r="G19" i="2" s="1"/>
  <c r="G21" i="2" s="1"/>
  <c r="G20" i="2" s="1"/>
  <c r="I11" i="2" l="1"/>
  <c r="I14" i="2" s="1"/>
  <c r="L3" i="2"/>
  <c r="K4" i="2"/>
  <c r="K10" i="2" s="1"/>
  <c r="O3" i="4"/>
  <c r="N4" i="4"/>
  <c r="N10" i="4" s="1"/>
  <c r="L11" i="4"/>
  <c r="L14" i="4" s="1"/>
  <c r="L4" i="3"/>
  <c r="L10" i="3" s="1"/>
  <c r="K11" i="3" s="1"/>
  <c r="K14" i="3" s="1"/>
  <c r="M3" i="3"/>
  <c r="J11" i="3"/>
  <c r="J14" i="3" s="1"/>
  <c r="G22" i="2"/>
  <c r="G14" i="2" s="1"/>
  <c r="G15" i="2" s="1"/>
  <c r="M3" i="2" l="1"/>
  <c r="L4" i="2"/>
  <c r="L10" i="2" s="1"/>
  <c r="J11" i="2"/>
  <c r="J14" i="2" s="1"/>
  <c r="I15" i="2"/>
  <c r="I23" i="2"/>
  <c r="L15" i="4"/>
  <c r="L23" i="4"/>
  <c r="P3" i="4"/>
  <c r="P4" i="4" s="1"/>
  <c r="P10" i="4" s="1"/>
  <c r="P11" i="4" s="1"/>
  <c r="P14" i="4" s="1"/>
  <c r="O4" i="4"/>
  <c r="O10" i="4" s="1"/>
  <c r="M11" i="4"/>
  <c r="M14" i="4" s="1"/>
  <c r="M4" i="3"/>
  <c r="M10" i="3" s="1"/>
  <c r="L11" i="3" s="1"/>
  <c r="L14" i="3" s="1"/>
  <c r="N3" i="3"/>
  <c r="J15" i="2" l="1"/>
  <c r="J23" i="2"/>
  <c r="N3" i="2"/>
  <c r="M4" i="2"/>
  <c r="M10" i="2" s="1"/>
  <c r="K11" i="2"/>
  <c r="K14" i="2" s="1"/>
  <c r="M15" i="4"/>
  <c r="M23" i="4"/>
  <c r="P15" i="4"/>
  <c r="P23" i="4"/>
  <c r="O11" i="4"/>
  <c r="O14" i="4" s="1"/>
  <c r="N11" i="4"/>
  <c r="N14" i="4" s="1"/>
  <c r="N4" i="3"/>
  <c r="N10" i="3" s="1"/>
  <c r="M11" i="3" s="1"/>
  <c r="M14" i="3" s="1"/>
  <c r="O3" i="3"/>
  <c r="K15" i="2" l="1"/>
  <c r="K23" i="2"/>
  <c r="O3" i="2"/>
  <c r="N4" i="2"/>
  <c r="N10" i="2" s="1"/>
  <c r="L11" i="2"/>
  <c r="L14" i="2" s="1"/>
  <c r="N23" i="4"/>
  <c r="N15" i="4"/>
  <c r="O15" i="4"/>
  <c r="O23" i="4"/>
  <c r="P3" i="3"/>
  <c r="P4" i="3" s="1"/>
  <c r="P10" i="3" s="1"/>
  <c r="P11" i="3" s="1"/>
  <c r="P14" i="3" s="1"/>
  <c r="O4" i="3"/>
  <c r="O10" i="3" s="1"/>
  <c r="L15" i="2" l="1"/>
  <c r="L23" i="2"/>
  <c r="O4" i="2"/>
  <c r="O10" i="2" s="1"/>
  <c r="P3" i="2"/>
  <c r="P4" i="2" s="1"/>
  <c r="P10" i="2" s="1"/>
  <c r="P11" i="2" s="1"/>
  <c r="P14" i="2" s="1"/>
  <c r="M11" i="2"/>
  <c r="M14" i="2" s="1"/>
  <c r="O11" i="3"/>
  <c r="O14" i="3" s="1"/>
  <c r="N11" i="3"/>
  <c r="N14" i="3" s="1"/>
  <c r="O11" i="2" l="1"/>
  <c r="O14" i="2" s="1"/>
  <c r="O15" i="2" s="1"/>
  <c r="M15" i="2"/>
  <c r="M23" i="2"/>
  <c r="P15" i="2"/>
  <c r="P23" i="2"/>
  <c r="N11" i="2"/>
  <c r="N14" i="2" s="1"/>
  <c r="O23" i="2" l="1"/>
  <c r="N15" i="2"/>
  <c r="N23" i="2"/>
  <c r="G23" i="2" l="1"/>
  <c r="W32" i="2" s="1"/>
</calcChain>
</file>

<file path=xl/sharedStrings.xml><?xml version="1.0" encoding="utf-8"?>
<sst xmlns="http://schemas.openxmlformats.org/spreadsheetml/2006/main" count="122" uniqueCount="31">
  <si>
    <t>L</t>
  </si>
  <si>
    <t>dx</t>
  </si>
  <si>
    <t>k</t>
  </si>
  <si>
    <t>R</t>
  </si>
  <si>
    <t>Cp</t>
  </si>
  <si>
    <t>p*</t>
  </si>
  <si>
    <t>p</t>
  </si>
  <si>
    <t>T*</t>
  </si>
  <si>
    <t>n</t>
  </si>
  <si>
    <t>№</t>
  </si>
  <si>
    <t>x</t>
  </si>
  <si>
    <t>A</t>
  </si>
  <si>
    <t>U</t>
  </si>
  <si>
    <t>ro</t>
  </si>
  <si>
    <t>G</t>
  </si>
  <si>
    <t>dp</t>
  </si>
  <si>
    <t>T</t>
  </si>
  <si>
    <t>c</t>
  </si>
  <si>
    <t>M</t>
  </si>
  <si>
    <t>Tau_lam</t>
  </si>
  <si>
    <t>Pi_lamda</t>
  </si>
  <si>
    <t>lamda</t>
  </si>
  <si>
    <t>с</t>
  </si>
  <si>
    <t>а</t>
  </si>
  <si>
    <t>потери слишком большие?</t>
  </si>
  <si>
    <t>3D</t>
  </si>
  <si>
    <t>Чтобы добиться в этом расчете 1.5 маха нужно сильнее увеличить полное давление, но тогда задачи будут сильно отличаться</t>
  </si>
  <si>
    <t>Шаг</t>
  </si>
  <si>
    <t>σ</t>
  </si>
  <si>
    <t>текущий расчет</t>
  </si>
  <si>
    <t>Сходимости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</si>
</sst>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"/>
    <numFmt numFmtId="165" formatCode="0.000"/>
    <numFmt numFmtId="166" formatCode="0.0000"/>
    <numFmt numFmtId="167" formatCode="0.00000"/>
  </numFmts>
  <fonts count="3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1"/>
      <color theme="1"/>
      <name val="Calibri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92D05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1" fontId="0" fillId="3" borderId="1" xfId="0" applyNumberFormat="1" applyFill="1" applyBorder="1"/>
    <xf numFmtId="0" fontId="0" fillId="4" borderId="1" xfId="0" applyFill="1" applyBorder="1"/>
    <xf numFmtId="165" fontId="0" fillId="4" borderId="1" xfId="0" applyNumberFormat="1" applyFill="1" applyBorder="1"/>
    <xf numFmtId="166" fontId="0" fillId="4" borderId="1" xfId="0" applyNumberFormat="1" applyFill="1" applyBorder="1"/>
    <xf numFmtId="2" fontId="0" fillId="4" borderId="1" xfId="0" applyNumberFormat="1" applyFill="1" applyBorder="1"/>
    <xf numFmtId="164" fontId="0" fillId="4" borderId="1" xfId="0" applyNumberFormat="1" applyFill="1" applyBorder="1"/>
    <xf numFmtId="1" fontId="0" fillId="4" borderId="1" xfId="0" applyNumberFormat="1" applyFill="1" applyBorder="1"/>
    <xf numFmtId="0" fontId="0" fillId="5" borderId="0" xfId="0" applyFill="1"/>
    <xf numFmtId="0" fontId="0" fillId="0" borderId="0" xfId="0" applyBorder="1"/>
    <xf numFmtId="0" fontId="0" fillId="4" borderId="0" xfId="0" applyFill="1" applyBorder="1"/>
    <xf numFmtId="0" fontId="0" fillId="6" borderId="1" xfId="0" applyFill="1" applyBorder="1"/>
    <xf numFmtId="2" fontId="0" fillId="7" borderId="1" xfId="0" applyNumberFormat="1" applyFill="1" applyBorder="1"/>
    <xf numFmtId="2" fontId="0" fillId="0" borderId="1" xfId="0" applyNumberFormat="1" applyBorder="1"/>
    <xf numFmtId="166" fontId="0" fillId="0" borderId="1" xfId="0" applyNumberFormat="1" applyBorder="1"/>
    <xf numFmtId="0" fontId="0" fillId="0" borderId="1" xfId="0" applyBorder="1"/>
    <xf numFmtId="166" fontId="0" fillId="0" borderId="0" xfId="0" applyNumberFormat="1" applyBorder="1"/>
    <xf numFmtId="2" fontId="0" fillId="0" borderId="0" xfId="0" applyNumberFormat="1" applyBorder="1"/>
    <xf numFmtId="2" fontId="0" fillId="0" borderId="0" xfId="0" applyNumberFormat="1" applyFill="1" applyBorder="1"/>
    <xf numFmtId="2" fontId="0" fillId="0" borderId="0" xfId="0" applyNumberFormat="1"/>
    <xf numFmtId="165" fontId="0" fillId="0" borderId="1" xfId="0" applyNumberFormat="1" applyBorder="1"/>
    <xf numFmtId="167" fontId="0" fillId="0" borderId="1" xfId="0" applyNumberFormat="1" applyBorder="1"/>
    <xf numFmtId="167" fontId="0" fillId="0" borderId="0" xfId="0" applyNumberFormat="1" applyBorder="1"/>
    <xf numFmtId="167" fontId="2" fillId="0" borderId="1" xfId="0" applyNumberFormat="1" applyFont="1" applyBorder="1"/>
    <xf numFmtId="165" fontId="0" fillId="0" borderId="0" xfId="0" applyNumberFormat="1" applyBorder="1"/>
    <xf numFmtId="167" fontId="2" fillId="0" borderId="0" xfId="0" applyNumberFormat="1" applyFont="1" applyBorder="1"/>
    <xf numFmtId="167" fontId="0" fillId="0" borderId="1" xfId="0" applyNumberFormat="1" applyFont="1" applyFill="1" applyBorder="1"/>
    <xf numFmtId="2" fontId="0" fillId="0" borderId="2" xfId="0" applyNumberFormat="1" applyBorder="1" applyAlignment="1">
      <alignment horizontal="center"/>
    </xf>
    <xf numFmtId="2" fontId="0" fillId="0" borderId="3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v>Геометрия канала</c:v>
          </c:tx>
          <c:val>
            <c:numRef>
              <c:f>ro_const_p_215!$G$3:$Q$3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6783488"/>
        <c:axId val="316779960"/>
      </c:lineChart>
      <c:catAx>
        <c:axId val="316783488"/>
        <c:scaling>
          <c:orientation val="minMax"/>
        </c:scaling>
        <c:delete val="0"/>
        <c:axPos val="b"/>
        <c:majorTickMark val="out"/>
        <c:minorTickMark val="none"/>
        <c:tickLblPos val="nextTo"/>
        <c:crossAx val="316779960"/>
        <c:crosses val="autoZero"/>
        <c:auto val="1"/>
        <c:lblAlgn val="ctr"/>
        <c:lblOffset val="100"/>
        <c:noMultiLvlLbl val="0"/>
      </c:catAx>
      <c:valAx>
        <c:axId val="316779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16783488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893270944090315"/>
          <c:y val="7.4548702245552628E-2"/>
          <c:w val="0.70526137357830299"/>
          <c:h val="0.8326195683872849"/>
        </c:manualLayout>
      </c:layout>
      <c:lineChart>
        <c:grouping val="stacked"/>
        <c:varyColors val="0"/>
        <c:ser>
          <c:idx val="0"/>
          <c:order val="0"/>
          <c:tx>
            <c:v>Расход</c:v>
          </c:tx>
          <c:val>
            <c:numRef>
              <c:f>ro_const_p_215!$G$10:$Q$10</c:f>
              <c:numCache>
                <c:formatCode>0.000</c:formatCode>
                <c:ptCount val="11"/>
                <c:pt idx="0">
                  <c:v>2.5257722651690222</c:v>
                </c:pt>
                <c:pt idx="1">
                  <c:v>2.5257781221733611</c:v>
                </c:pt>
                <c:pt idx="2">
                  <c:v>2.5261053581333432</c:v>
                </c:pt>
                <c:pt idx="3">
                  <c:v>2.5265173633137388</c:v>
                </c:pt>
                <c:pt idx="4">
                  <c:v>2.5269714848570279</c:v>
                </c:pt>
                <c:pt idx="5">
                  <c:v>2.5274218902139118</c:v>
                </c:pt>
                <c:pt idx="6">
                  <c:v>2.5278236876508027</c:v>
                </c:pt>
                <c:pt idx="7">
                  <c:v>2.5281392573431978</c:v>
                </c:pt>
                <c:pt idx="8">
                  <c:v>2.5283465364940381</c:v>
                </c:pt>
                <c:pt idx="9">
                  <c:v>2.5284475286754851</c:v>
                </c:pt>
                <c:pt idx="10">
                  <c:v>2.528472593012848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6779176"/>
        <c:axId val="316782312"/>
      </c:lineChart>
      <c:catAx>
        <c:axId val="316779176"/>
        <c:scaling>
          <c:orientation val="minMax"/>
        </c:scaling>
        <c:delete val="0"/>
        <c:axPos val="b"/>
        <c:majorTickMark val="out"/>
        <c:minorTickMark val="none"/>
        <c:tickLblPos val="nextTo"/>
        <c:crossAx val="316782312"/>
        <c:crosses val="autoZero"/>
        <c:auto val="1"/>
        <c:lblAlgn val="ctr"/>
        <c:lblOffset val="100"/>
        <c:noMultiLvlLbl val="0"/>
      </c:catAx>
      <c:valAx>
        <c:axId val="316782312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316779176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024380249048"/>
          <c:y val="0.15678135623796374"/>
          <c:w val="0.85165196667586673"/>
          <c:h val="0.69443373813180276"/>
        </c:manualLayout>
      </c:layout>
      <c:scatterChart>
        <c:scatterStyle val="smoothMarker"/>
        <c:varyColors val="0"/>
        <c:ser>
          <c:idx val="0"/>
          <c:order val="0"/>
          <c:tx>
            <c:v>1D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ro_const_p_215!$G$2:$Q$2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ro_const_p_215!$G$5:$Q$5</c:f>
              <c:numCache>
                <c:formatCode>General</c:formatCode>
                <c:ptCount val="11"/>
                <c:pt idx="0">
                  <c:v>106.00954929205264</c:v>
                </c:pt>
                <c:pt idx="1">
                  <c:v>117.46237628892533</c:v>
                </c:pt>
                <c:pt idx="2">
                  <c:v>130.89321164607043</c:v>
                </c:pt>
                <c:pt idx="3">
                  <c:v>146.76927174460837</c:v>
                </c:pt>
                <c:pt idx="4">
                  <c:v>165.71857757810079</c:v>
                </c:pt>
                <c:pt idx="5">
                  <c:v>188.58460729232979</c:v>
                </c:pt>
                <c:pt idx="6">
                  <c:v>216.52196060152397</c:v>
                </c:pt>
                <c:pt idx="7">
                  <c:v>251.14569920898722</c:v>
                </c:pt>
                <c:pt idx="8">
                  <c:v>294.7716628031402</c:v>
                </c:pt>
                <c:pt idx="9">
                  <c:v>350.81673331494306</c:v>
                </c:pt>
                <c:pt idx="10">
                  <c:v>424.49249005563195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CB9-413A-A2CB-F811EE2F7291}"/>
            </c:ext>
          </c:extLst>
        </c:ser>
        <c:ser>
          <c:idx val="1"/>
          <c:order val="1"/>
          <c:tx>
            <c:v>3D</c:v>
          </c:tx>
          <c:spPr>
            <a:ln w="19050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xVal>
            <c:numRef>
              <c:f>ro_const_p_215!$W$23:$AA$23</c:f>
              <c:numCache>
                <c:formatCode>0.0000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xVal>
          <c:yVal>
            <c:numRef>
              <c:f>ro_const_p_215!$W$25:$AA$25</c:f>
              <c:numCache>
                <c:formatCode>General</c:formatCode>
                <c:ptCount val="5"/>
                <c:pt idx="0">
                  <c:v>118.4877</c:v>
                </c:pt>
                <c:pt idx="1">
                  <c:v>148.65209999999999</c:v>
                </c:pt>
                <c:pt idx="2">
                  <c:v>200.7876</c:v>
                </c:pt>
                <c:pt idx="3">
                  <c:v>285.13</c:v>
                </c:pt>
                <c:pt idx="4">
                  <c:v>440.15249999999997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86F2-4159-B10A-D99C1532BA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6783096"/>
        <c:axId val="316779568"/>
      </c:scatterChart>
      <c:valAx>
        <c:axId val="316783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6779568"/>
        <c:crosses val="autoZero"/>
        <c:crossBetween val="midCat"/>
      </c:valAx>
      <c:valAx>
        <c:axId val="31677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6783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371"/>
          <c:w val="0.85165196667586673"/>
          <c:h val="0.69443373813180276"/>
        </c:manualLayout>
      </c:layout>
      <c:scatterChart>
        <c:scatterStyle val="smoothMarker"/>
        <c:varyColors val="0"/>
        <c:ser>
          <c:idx val="0"/>
          <c:order val="0"/>
          <c:tx>
            <c:v>1D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ro_const_p_215!$G$2:$Q$2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ro_const_p_215!$G$6:$Q$6</c:f>
              <c:numCache>
                <c:formatCode>General</c:formatCode>
                <c:ptCount val="11"/>
                <c:pt idx="0">
                  <c:v>208341.47045939579</c:v>
                </c:pt>
                <c:pt idx="1">
                  <c:v>206747.24224669536</c:v>
                </c:pt>
                <c:pt idx="2">
                  <c:v>204663.90137107947</c:v>
                </c:pt>
                <c:pt idx="3">
                  <c:v>201902.58255528979</c:v>
                </c:pt>
                <c:pt idx="4">
                  <c:v>198181.23806084754</c:v>
                </c:pt>
                <c:pt idx="5">
                  <c:v>193071.15248278095</c:v>
                </c:pt>
                <c:pt idx="6">
                  <c:v>185902.88660991949</c:v>
                </c:pt>
                <c:pt idx="7">
                  <c:v>175598.48108668765</c:v>
                </c:pt>
                <c:pt idx="8">
                  <c:v>160359.65891136561</c:v>
                </c:pt>
                <c:pt idx="9">
                  <c:v>137060.67742173275</c:v>
                </c:pt>
                <c:pt idx="10">
                  <c:v>100000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F0C5-4B97-AD17-AB0623852F5F}"/>
            </c:ext>
          </c:extLst>
        </c:ser>
        <c:ser>
          <c:idx val="1"/>
          <c:order val="1"/>
          <c:tx>
            <c:v>3D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ro_const_p_215!$W$23:$AA$23</c:f>
              <c:numCache>
                <c:formatCode>0.0000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xVal>
          <c:yVal>
            <c:numRef>
              <c:f>ro_const_p_215!$W$24:$AA$24</c:f>
              <c:numCache>
                <c:formatCode>General</c:formatCode>
                <c:ptCount val="5"/>
                <c:pt idx="0">
                  <c:v>207771</c:v>
                </c:pt>
                <c:pt idx="1">
                  <c:v>203257</c:v>
                </c:pt>
                <c:pt idx="2">
                  <c:v>192492</c:v>
                </c:pt>
                <c:pt idx="3">
                  <c:v>168165</c:v>
                </c:pt>
                <c:pt idx="4" formatCode="0.00">
                  <c:v>101325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000F-42F3-A0C9-AAA11EF5E1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2564736"/>
        <c:axId val="372563952"/>
      </c:scatterChart>
      <c:valAx>
        <c:axId val="372564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2563952"/>
        <c:crosses val="autoZero"/>
        <c:crossBetween val="midCat"/>
      </c:valAx>
      <c:valAx>
        <c:axId val="372563952"/>
        <c:scaling>
          <c:orientation val="minMax"/>
          <c:min val="1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25647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v>Геометрия канала</c:v>
          </c:tx>
          <c:val>
            <c:numRef>
              <c:f>ro_const_p_215!$G$3:$Q$3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2563560"/>
        <c:axId val="372561208"/>
      </c:lineChart>
      <c:catAx>
        <c:axId val="372563560"/>
        <c:scaling>
          <c:orientation val="minMax"/>
        </c:scaling>
        <c:delete val="0"/>
        <c:axPos val="b"/>
        <c:majorTickMark val="out"/>
        <c:minorTickMark val="none"/>
        <c:tickLblPos val="nextTo"/>
        <c:crossAx val="372561208"/>
        <c:crosses val="autoZero"/>
        <c:auto val="1"/>
        <c:lblAlgn val="ctr"/>
        <c:lblOffset val="100"/>
        <c:noMultiLvlLbl val="0"/>
      </c:catAx>
      <c:valAx>
        <c:axId val="3725612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2563560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8932709440903156"/>
          <c:y val="7.4548702245552628E-2"/>
          <c:w val="0.70526137357830321"/>
          <c:h val="0.8326195683872849"/>
        </c:manualLayout>
      </c:layout>
      <c:lineChart>
        <c:grouping val="stacked"/>
        <c:varyColors val="0"/>
        <c:ser>
          <c:idx val="0"/>
          <c:order val="0"/>
          <c:tx>
            <c:v>Расход</c:v>
          </c:tx>
          <c:val>
            <c:numRef>
              <c:f>ro_var_p_215!$G$10:$Q$10</c:f>
              <c:numCache>
                <c:formatCode>0.000</c:formatCode>
                <c:ptCount val="11"/>
                <c:pt idx="0">
                  <c:v>2.4689189393711706</c:v>
                </c:pt>
                <c:pt idx="1">
                  <c:v>2.4689189506401559</c:v>
                </c:pt>
                <c:pt idx="2">
                  <c:v>2.4689195409625331</c:v>
                </c:pt>
                <c:pt idx="3">
                  <c:v>2.4689201137575716</c:v>
                </c:pt>
                <c:pt idx="4">
                  <c:v>2.4689206508173718</c:v>
                </c:pt>
                <c:pt idx="5">
                  <c:v>2.468921132296388</c:v>
                </c:pt>
                <c:pt idx="6">
                  <c:v>2.4689215379510974</c:v>
                </c:pt>
                <c:pt idx="7">
                  <c:v>2.4689218493796257</c:v>
                </c:pt>
                <c:pt idx="8">
                  <c:v>2.4689220536829088</c:v>
                </c:pt>
                <c:pt idx="9">
                  <c:v>2.4689221489875375</c:v>
                </c:pt>
                <c:pt idx="10">
                  <c:v>2.4689221522185174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2559248"/>
        <c:axId val="372561600"/>
      </c:lineChart>
      <c:catAx>
        <c:axId val="372559248"/>
        <c:scaling>
          <c:orientation val="minMax"/>
        </c:scaling>
        <c:delete val="0"/>
        <c:axPos val="b"/>
        <c:majorTickMark val="out"/>
        <c:minorTickMark val="none"/>
        <c:tickLblPos val="nextTo"/>
        <c:crossAx val="372561600"/>
        <c:crosses val="autoZero"/>
        <c:auto val="1"/>
        <c:lblAlgn val="ctr"/>
        <c:lblOffset val="100"/>
        <c:noMultiLvlLbl val="0"/>
      </c:catAx>
      <c:valAx>
        <c:axId val="372561600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372559248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69832633420822399"/>
          <c:y val="1.388888888888890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6721062992125985"/>
          <c:y val="7.4548702245552628E-2"/>
          <c:w val="0.68402537182852163"/>
          <c:h val="0.8326195683872849"/>
        </c:manualLayout>
      </c:layout>
      <c:lineChart>
        <c:grouping val="stacked"/>
        <c:varyColors val="0"/>
        <c:ser>
          <c:idx val="0"/>
          <c:order val="0"/>
          <c:tx>
            <c:v>Давление</c:v>
          </c:tx>
          <c:val>
            <c:numRef>
              <c:f>ro_const_p_215!$G$14:$Q$14</c:f>
              <c:numCache>
                <c:formatCode>General</c:formatCode>
                <c:ptCount val="11"/>
                <c:pt idx="0" formatCode="0">
                  <c:v>208341.43964335814</c:v>
                </c:pt>
                <c:pt idx="1">
                  <c:v>206747.20380869275</c:v>
                </c:pt>
                <c:pt idx="2">
                  <c:v>204663.84744225908</c:v>
                </c:pt>
                <c:pt idx="3">
                  <c:v>201902.51590403286</c:v>
                </c:pt>
                <c:pt idx="4">
                  <c:v>198181.1634201452</c:v>
                </c:pt>
                <c:pt idx="5">
                  <c:v>193071.07670983352</c:v>
                </c:pt>
                <c:pt idx="6">
                  <c:v>185902.81828206425</c:v>
                </c:pt>
                <c:pt idx="7">
                  <c:v>175598.42902938</c:v>
                </c:pt>
                <c:pt idx="8">
                  <c:v>160359.62914172074</c:v>
                </c:pt>
                <c:pt idx="9">
                  <c:v>137060.66862874239</c:v>
                </c:pt>
                <c:pt idx="10">
                  <c:v>100000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2560424"/>
        <c:axId val="372558072"/>
      </c:lineChart>
      <c:catAx>
        <c:axId val="372560424"/>
        <c:scaling>
          <c:orientation val="minMax"/>
        </c:scaling>
        <c:delete val="0"/>
        <c:axPos val="b"/>
        <c:majorTickMark val="out"/>
        <c:minorTickMark val="none"/>
        <c:tickLblPos val="nextTo"/>
        <c:crossAx val="372558072"/>
        <c:crosses val="autoZero"/>
        <c:auto val="1"/>
        <c:lblAlgn val="ctr"/>
        <c:lblOffset val="100"/>
        <c:noMultiLvlLbl val="0"/>
      </c:catAx>
      <c:valAx>
        <c:axId val="372558072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372560424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v>Скорость</c:v>
          </c:tx>
          <c:val>
            <c:numRef>
              <c:f>ro_const_p_215!$G$13:$Q$13</c:f>
              <c:numCache>
                <c:formatCode>0.00</c:formatCode>
                <c:ptCount val="11"/>
                <c:pt idx="0" formatCode="General">
                  <c:v>106.0097946007551</c:v>
                </c:pt>
                <c:pt idx="1">
                  <c:v>117.46264867201269</c:v>
                </c:pt>
                <c:pt idx="2">
                  <c:v>130.89354929085408</c:v>
                </c:pt>
                <c:pt idx="3">
                  <c:v>146.76964331350783</c:v>
                </c:pt>
                <c:pt idx="4">
                  <c:v>165.71894896627057</c:v>
                </c:pt>
                <c:pt idx="5">
                  <c:v>188.58494472864786</c:v>
                </c:pt>
                <c:pt idx="6">
                  <c:v>216.52223540127918</c:v>
                </c:pt>
                <c:pt idx="7">
                  <c:v>251.14589395978049</c:v>
                </c:pt>
                <c:pt idx="8">
                  <c:v>294.77177766958192</c:v>
                </c:pt>
                <c:pt idx="9">
                  <c:v>350.81678918400701</c:v>
                </c:pt>
                <c:pt idx="10">
                  <c:v>424.49252283795033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2565520"/>
        <c:axId val="372562384"/>
      </c:lineChart>
      <c:catAx>
        <c:axId val="372565520"/>
        <c:scaling>
          <c:orientation val="minMax"/>
        </c:scaling>
        <c:delete val="0"/>
        <c:axPos val="b"/>
        <c:majorTickMark val="out"/>
        <c:minorTickMark val="none"/>
        <c:tickLblPos val="nextTo"/>
        <c:crossAx val="372562384"/>
        <c:crosses val="autoZero"/>
        <c:auto val="1"/>
        <c:lblAlgn val="ctr"/>
        <c:lblOffset val="100"/>
        <c:noMultiLvlLbl val="0"/>
      </c:catAx>
      <c:valAx>
        <c:axId val="372562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2565520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078219600076961E-2"/>
          <c:y val="8.6086479615586797E-2"/>
          <c:w val="0.87248427056993405"/>
          <c:h val="0.81284765570585027"/>
        </c:manualLayout>
      </c:layout>
      <c:scatterChart>
        <c:scatterStyle val="smoothMarker"/>
        <c:varyColors val="0"/>
        <c:ser>
          <c:idx val="0"/>
          <c:order val="0"/>
          <c:tx>
            <c:v>10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ro_var_p_215!$W$30:$AG$30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</c:numCache>
            </c:numRef>
          </c:xVal>
          <c:yVal>
            <c:numRef>
              <c:f>ro_var_p_215!$W$31:$AG$31</c:f>
              <c:numCache>
                <c:formatCode>0.00000</c:formatCode>
                <c:ptCount val="11"/>
                <c:pt idx="0">
                  <c:v>1</c:v>
                </c:pt>
                <c:pt idx="1">
                  <c:v>0.99958999999999998</c:v>
                </c:pt>
                <c:pt idx="2">
                  <c:v>0.99897000000000002</c:v>
                </c:pt>
                <c:pt idx="3">
                  <c:v>0.998</c:v>
                </c:pt>
                <c:pt idx="4">
                  <c:v>0.99641999999999997</c:v>
                </c:pt>
                <c:pt idx="5">
                  <c:v>0.99373</c:v>
                </c:pt>
                <c:pt idx="6">
                  <c:v>0.98892000000000002</c:v>
                </c:pt>
                <c:pt idx="7">
                  <c:v>0.97975999999999996</c:v>
                </c:pt>
                <c:pt idx="8">
                  <c:v>0.96074000000000004</c:v>
                </c:pt>
                <c:pt idx="9">
                  <c:v>0.91486000000000001</c:v>
                </c:pt>
                <c:pt idx="10">
                  <c:v>0.59923000000000004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007D-4D38-A48F-7593FB8CA584}"/>
            </c:ext>
          </c:extLst>
        </c:ser>
        <c:ser>
          <c:idx val="1"/>
          <c:order val="1"/>
          <c:tx>
            <c:v>22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ro_var_p_215!$W$30:$AG$30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</c:numCache>
            </c:numRef>
          </c:xVal>
          <c:yVal>
            <c:numRef>
              <c:f>ro_var_p_215!$W$32:$AG$32</c:f>
              <c:numCache>
                <c:formatCode>0.00000</c:formatCode>
                <c:ptCount val="11"/>
                <c:pt idx="0">
                  <c:v>1</c:v>
                </c:pt>
                <c:pt idx="1">
                  <c:v>0.99958999999999998</c:v>
                </c:pt>
                <c:pt idx="2">
                  <c:v>0.99897000000000002</c:v>
                </c:pt>
                <c:pt idx="3">
                  <c:v>0.998</c:v>
                </c:pt>
                <c:pt idx="4">
                  <c:v>0.99643999999999999</c:v>
                </c:pt>
                <c:pt idx="5">
                  <c:v>0.99373</c:v>
                </c:pt>
                <c:pt idx="6">
                  <c:v>0.98890999999999996</c:v>
                </c:pt>
                <c:pt idx="7">
                  <c:v>0.97977000000000003</c:v>
                </c:pt>
                <c:pt idx="8">
                  <c:v>0.96074999999999999</c:v>
                </c:pt>
                <c:pt idx="9">
                  <c:v>0.91486000000000001</c:v>
                </c:pt>
                <c:pt idx="10">
                  <c:v>0.59923000000000004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007D-4D38-A48F-7593FB8CA584}"/>
            </c:ext>
          </c:extLst>
        </c:ser>
        <c:ser>
          <c:idx val="2"/>
          <c:order val="2"/>
          <c:tx>
            <c:v>44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ro_var_p_215!$W$30:$AG$30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</c:numCache>
            </c:numRef>
          </c:xVal>
          <c:yVal>
            <c:numRef>
              <c:f>ro_var_p_215!$W$33:$AG$33</c:f>
              <c:numCache>
                <c:formatCode>0.00000</c:formatCode>
                <c:ptCount val="11"/>
                <c:pt idx="0">
                  <c:v>1</c:v>
                </c:pt>
                <c:pt idx="1">
                  <c:v>0.99958999999999998</c:v>
                </c:pt>
                <c:pt idx="2">
                  <c:v>0.99897000000000002</c:v>
                </c:pt>
                <c:pt idx="3">
                  <c:v>0.99799000000000004</c:v>
                </c:pt>
                <c:pt idx="4">
                  <c:v>0.99639</c:v>
                </c:pt>
                <c:pt idx="5">
                  <c:v>0.99368000000000001</c:v>
                </c:pt>
                <c:pt idx="6">
                  <c:v>0.98884000000000005</c:v>
                </c:pt>
                <c:pt idx="7">
                  <c:v>0.97962000000000005</c:v>
                </c:pt>
                <c:pt idx="8">
                  <c:v>0.96040999999999999</c:v>
                </c:pt>
                <c:pt idx="9">
                  <c:v>0.91364000000000001</c:v>
                </c:pt>
                <c:pt idx="10">
                  <c:v>0.59923000000000004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007D-4D38-A48F-7593FB8CA584}"/>
            </c:ext>
          </c:extLst>
        </c:ser>
        <c:ser>
          <c:idx val="3"/>
          <c:order val="3"/>
          <c:tx>
            <c:v>66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ro_var_p_215!$W$30:$AG$30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</c:numCache>
            </c:numRef>
          </c:xVal>
          <c:yVal>
            <c:numRef>
              <c:f>ro_var_p_215!$W$34:$AG$34</c:f>
              <c:numCache>
                <c:formatCode>0.00000</c:formatCode>
                <c:ptCount val="11"/>
                <c:pt idx="0">
                  <c:v>1</c:v>
                </c:pt>
                <c:pt idx="1">
                  <c:v>0.99960000000000004</c:v>
                </c:pt>
                <c:pt idx="2">
                  <c:v>0.99897000000000002</c:v>
                </c:pt>
                <c:pt idx="3">
                  <c:v>0.99799000000000004</c:v>
                </c:pt>
                <c:pt idx="4">
                  <c:v>0.99639999999999995</c:v>
                </c:pt>
                <c:pt idx="5">
                  <c:v>0.99368999999999996</c:v>
                </c:pt>
                <c:pt idx="6">
                  <c:v>0.98884000000000005</c:v>
                </c:pt>
                <c:pt idx="7">
                  <c:v>0.97960999999999998</c:v>
                </c:pt>
                <c:pt idx="8">
                  <c:v>0.96038000000000001</c:v>
                </c:pt>
                <c:pt idx="9">
                  <c:v>0.91337999999999997</c:v>
                </c:pt>
                <c:pt idx="10">
                  <c:v>0.59923000000000004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007D-4D38-A48F-7593FB8CA584}"/>
            </c:ext>
          </c:extLst>
        </c:ser>
        <c:ser>
          <c:idx val="4"/>
          <c:order val="4"/>
          <c:tx>
            <c:v>88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ro_var_p_215!$W$30:$AG$30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</c:numCache>
            </c:numRef>
          </c:xVal>
          <c:yVal>
            <c:numRef>
              <c:f>ro_var_p_215!$W$35:$AG$35</c:f>
              <c:numCache>
                <c:formatCode>0.00000</c:formatCode>
                <c:ptCount val="11"/>
                <c:pt idx="0">
                  <c:v>1</c:v>
                </c:pt>
                <c:pt idx="1">
                  <c:v>0.99960000000000004</c:v>
                </c:pt>
                <c:pt idx="2">
                  <c:v>0.99897000000000002</c:v>
                </c:pt>
                <c:pt idx="3">
                  <c:v>0.99799000000000004</c:v>
                </c:pt>
                <c:pt idx="4">
                  <c:v>0.99639999999999995</c:v>
                </c:pt>
                <c:pt idx="5">
                  <c:v>0.99368999999999996</c:v>
                </c:pt>
                <c:pt idx="6">
                  <c:v>0.98884000000000005</c:v>
                </c:pt>
                <c:pt idx="7">
                  <c:v>0.97960000000000003</c:v>
                </c:pt>
                <c:pt idx="8">
                  <c:v>0.96038999999999997</c:v>
                </c:pt>
                <c:pt idx="9">
                  <c:v>0.91413</c:v>
                </c:pt>
                <c:pt idx="10">
                  <c:v>0.59923000000000004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007D-4D38-A48F-7593FB8CA584}"/>
            </c:ext>
          </c:extLst>
        </c:ser>
        <c:ser>
          <c:idx val="5"/>
          <c:order val="5"/>
          <c:tx>
            <c:v>100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ro_var_p_215!$W$30:$AG$30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</c:numCache>
            </c:numRef>
          </c:xVal>
          <c:yVal>
            <c:numRef>
              <c:f>ro_var_p_215!$W$36:$AG$36</c:f>
              <c:numCache>
                <c:formatCode>0.00000</c:formatCode>
                <c:ptCount val="11"/>
                <c:pt idx="0">
                  <c:v>1</c:v>
                </c:pt>
                <c:pt idx="1">
                  <c:v>0.99960000000000004</c:v>
                </c:pt>
                <c:pt idx="2">
                  <c:v>0.99897000000000002</c:v>
                </c:pt>
                <c:pt idx="3">
                  <c:v>0.99799000000000004</c:v>
                </c:pt>
                <c:pt idx="4">
                  <c:v>0.99639999999999995</c:v>
                </c:pt>
                <c:pt idx="5">
                  <c:v>0.99368000000000001</c:v>
                </c:pt>
                <c:pt idx="6">
                  <c:v>0.98882999999999999</c:v>
                </c:pt>
                <c:pt idx="7">
                  <c:v>0.97960000000000003</c:v>
                </c:pt>
                <c:pt idx="8">
                  <c:v>0.96043000000000001</c:v>
                </c:pt>
                <c:pt idx="9">
                  <c:v>0.91435</c:v>
                </c:pt>
                <c:pt idx="10">
                  <c:v>0.59923000000000004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007D-4D38-A48F-7593FB8CA584}"/>
            </c:ext>
          </c:extLst>
        </c:ser>
        <c:ser>
          <c:idx val="6"/>
          <c:order val="6"/>
          <c:tx>
            <c:v>120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ro_var_p_215!$W$30:$AG$30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</c:numCache>
            </c:numRef>
          </c:xVal>
          <c:yVal>
            <c:numRef>
              <c:f>ro_var_p_215!$W$37:$AG$37</c:f>
              <c:numCache>
                <c:formatCode>0.00000</c:formatCode>
                <c:ptCount val="11"/>
                <c:pt idx="0">
                  <c:v>1</c:v>
                </c:pt>
                <c:pt idx="1">
                  <c:v>0.99958999999999998</c:v>
                </c:pt>
                <c:pt idx="2">
                  <c:v>0.99897000000000002</c:v>
                </c:pt>
                <c:pt idx="3">
                  <c:v>0.99799000000000004</c:v>
                </c:pt>
                <c:pt idx="4">
                  <c:v>0.99639999999999995</c:v>
                </c:pt>
                <c:pt idx="5">
                  <c:v>0.99368000000000001</c:v>
                </c:pt>
                <c:pt idx="6">
                  <c:v>0.98882999999999999</c:v>
                </c:pt>
                <c:pt idx="7">
                  <c:v>0.97960999999999998</c:v>
                </c:pt>
                <c:pt idx="8">
                  <c:v>0.96050000000000002</c:v>
                </c:pt>
                <c:pt idx="9">
                  <c:v>0.91452999999999995</c:v>
                </c:pt>
                <c:pt idx="10">
                  <c:v>0.59923000000000004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6-007D-4D38-A48F-7593FB8CA584}"/>
            </c:ext>
          </c:extLst>
        </c:ser>
        <c:ser>
          <c:idx val="7"/>
          <c:order val="7"/>
          <c:tx>
            <c:v>Текущий расчет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ro_var_p_215!$W$30:$AG$30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</c:numCache>
            </c:numRef>
          </c:xVal>
          <c:yVal>
            <c:numRef>
              <c:f>ro_var_p_215!$W$38:$AG$38</c:f>
              <c:numCache>
                <c:formatCode>0.00000</c:formatCode>
                <c:ptCount val="11"/>
                <c:pt idx="0">
                  <c:v>1</c:v>
                </c:pt>
                <c:pt idx="1">
                  <c:v>0.99958999999999998</c:v>
                </c:pt>
                <c:pt idx="2">
                  <c:v>0.99897999999999998</c:v>
                </c:pt>
                <c:pt idx="3">
                  <c:v>0.998</c:v>
                </c:pt>
                <c:pt idx="4">
                  <c:v>0.99641999999999997</c:v>
                </c:pt>
                <c:pt idx="5">
                  <c:v>0.99373</c:v>
                </c:pt>
                <c:pt idx="6">
                  <c:v>0.98892000000000002</c:v>
                </c:pt>
                <c:pt idx="7">
                  <c:v>0.97975999999999996</c:v>
                </c:pt>
                <c:pt idx="8">
                  <c:v>0.96074000000000004</c:v>
                </c:pt>
                <c:pt idx="9">
                  <c:v>0.91485000000000005</c:v>
                </c:pt>
                <c:pt idx="10">
                  <c:v>0.59923000000000004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7-007D-4D38-A48F-7593FB8CA5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2559640"/>
        <c:axId val="372560816"/>
      </c:scatterChart>
      <c:valAx>
        <c:axId val="372559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2560816"/>
        <c:crosses val="autoZero"/>
        <c:crossBetween val="midCat"/>
      </c:valAx>
      <c:valAx>
        <c:axId val="372560816"/>
        <c:scaling>
          <c:orientation val="minMax"/>
          <c:max val="1"/>
          <c:min val="0.5900000000000000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2559640"/>
        <c:crosses val="autoZero"/>
        <c:crossBetween val="midCat"/>
        <c:majorUnit val="5.000000000000001E-2"/>
        <c:minorUnit val="1.0000000000000002E-2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8.1717244377049678E-2"/>
          <c:y val="0.2179515828406304"/>
          <c:w val="0.54736707028224751"/>
          <c:h val="0.68921672163286607"/>
        </c:manualLayout>
      </c:layout>
      <c:lineChart>
        <c:grouping val="stacked"/>
        <c:varyColors val="0"/>
        <c:ser>
          <c:idx val="0"/>
          <c:order val="0"/>
          <c:tx>
            <c:v>Геометрия канала</c:v>
          </c:tx>
          <c:val>
            <c:numRef>
              <c:f>ro_const_p_215!$G$3:$Q$3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6778000"/>
        <c:axId val="372770736"/>
      </c:lineChart>
      <c:catAx>
        <c:axId val="316778000"/>
        <c:scaling>
          <c:orientation val="minMax"/>
        </c:scaling>
        <c:delete val="0"/>
        <c:axPos val="b"/>
        <c:majorTickMark val="out"/>
        <c:minorTickMark val="none"/>
        <c:tickLblPos val="nextTo"/>
        <c:crossAx val="372770736"/>
        <c:crosses val="autoZero"/>
        <c:auto val="1"/>
        <c:lblAlgn val="ctr"/>
        <c:lblOffset val="100"/>
        <c:noMultiLvlLbl val="0"/>
      </c:catAx>
      <c:valAx>
        <c:axId val="3727707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16778000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8932709440903156"/>
          <c:y val="7.4548702245552628E-2"/>
          <c:w val="0.70526137357830321"/>
          <c:h val="0.8326195683872849"/>
        </c:manualLayout>
      </c:layout>
      <c:lineChart>
        <c:grouping val="stacked"/>
        <c:varyColors val="0"/>
        <c:ser>
          <c:idx val="0"/>
          <c:order val="0"/>
          <c:tx>
            <c:v>Расход</c:v>
          </c:tx>
          <c:val>
            <c:numRef>
              <c:f>ro_var_p_105!$G$10:$Q$10</c:f>
              <c:numCache>
                <c:formatCode>0.000</c:formatCode>
                <c:ptCount val="11"/>
                <c:pt idx="0">
                  <c:v>0.45802108266294694</c:v>
                </c:pt>
                <c:pt idx="1">
                  <c:v>0.45802205274429714</c:v>
                </c:pt>
                <c:pt idx="2">
                  <c:v>0.45807673534866261</c:v>
                </c:pt>
                <c:pt idx="3">
                  <c:v>0.45816340495744534</c:v>
                </c:pt>
                <c:pt idx="4">
                  <c:v>0.45827075232910464</c:v>
                </c:pt>
                <c:pt idx="5">
                  <c:v>0.45838593888599438</c:v>
                </c:pt>
                <c:pt idx="6">
                  <c:v>0.45849551753028378</c:v>
                </c:pt>
                <c:pt idx="7">
                  <c:v>0.45858704157640262</c:v>
                </c:pt>
                <c:pt idx="8">
                  <c:v>0.4586514358057997</c:v>
                </c:pt>
                <c:pt idx="9">
                  <c:v>0.45868587055653737</c:v>
                </c:pt>
                <c:pt idx="10">
                  <c:v>0.4586961256338285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2772696"/>
        <c:axId val="372771520"/>
      </c:lineChart>
      <c:catAx>
        <c:axId val="372772696"/>
        <c:scaling>
          <c:orientation val="minMax"/>
        </c:scaling>
        <c:delete val="0"/>
        <c:axPos val="b"/>
        <c:majorTickMark val="out"/>
        <c:minorTickMark val="none"/>
        <c:tickLblPos val="nextTo"/>
        <c:crossAx val="372771520"/>
        <c:crosses val="autoZero"/>
        <c:auto val="1"/>
        <c:lblAlgn val="ctr"/>
        <c:lblOffset val="100"/>
        <c:noMultiLvlLbl val="0"/>
      </c:catAx>
      <c:valAx>
        <c:axId val="372771520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372772696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69832633420822399"/>
          <c:y val="1.388888888888890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6721062992125985"/>
          <c:y val="7.4548702245552628E-2"/>
          <c:w val="0.68402537182852163"/>
          <c:h val="0.8326195683872849"/>
        </c:manualLayout>
      </c:layout>
      <c:lineChart>
        <c:grouping val="stacked"/>
        <c:varyColors val="0"/>
        <c:ser>
          <c:idx val="0"/>
          <c:order val="0"/>
          <c:tx>
            <c:v>Давление</c:v>
          </c:tx>
          <c:val>
            <c:numRef>
              <c:f>ro_const_p_105!$G$14:$Q$14</c:f>
              <c:numCache>
                <c:formatCode>General</c:formatCode>
                <c:ptCount val="11"/>
                <c:pt idx="0" formatCode="0">
                  <c:v>104787.35932845269</c:v>
                </c:pt>
                <c:pt idx="1">
                  <c:v>104736.44739088853</c:v>
                </c:pt>
                <c:pt idx="2">
                  <c:v>104669.91150684966</c:v>
                </c:pt>
                <c:pt idx="3">
                  <c:v>104581.69876837725</c:v>
                </c:pt>
                <c:pt idx="4">
                  <c:v>104462.79013651557</c:v>
                </c:pt>
                <c:pt idx="5">
                  <c:v>104299.47966668912</c:v>
                </c:pt>
                <c:pt idx="6">
                  <c:v>104070.3707546783</c:v>
                </c:pt>
                <c:pt idx="7">
                  <c:v>103741.01730906773</c:v>
                </c:pt>
                <c:pt idx="8">
                  <c:v>103253.96426653017</c:v>
                </c:pt>
                <c:pt idx="9">
                  <c:v>102509.34835039773</c:v>
                </c:pt>
                <c:pt idx="10">
                  <c:v>101325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2771912"/>
        <c:axId val="372767992"/>
      </c:lineChart>
      <c:catAx>
        <c:axId val="372771912"/>
        <c:scaling>
          <c:orientation val="minMax"/>
        </c:scaling>
        <c:delete val="0"/>
        <c:axPos val="b"/>
        <c:majorTickMark val="out"/>
        <c:minorTickMark val="none"/>
        <c:tickLblPos val="nextTo"/>
        <c:crossAx val="372767992"/>
        <c:crosses val="autoZero"/>
        <c:auto val="1"/>
        <c:lblAlgn val="ctr"/>
        <c:lblOffset val="100"/>
        <c:noMultiLvlLbl val="0"/>
      </c:catAx>
      <c:valAx>
        <c:axId val="372767992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372771912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cked"/>
        <c:varyColors val="0"/>
        <c:ser>
          <c:idx val="0"/>
          <c:order val="0"/>
          <c:val>
            <c:numRef>
              <c:f>ro_const_p_105!$G$13:$Q$13</c:f>
              <c:numCache>
                <c:formatCode>0.00</c:formatCode>
                <c:ptCount val="11"/>
                <c:pt idx="0" formatCode="General">
                  <c:v>18.944318656593634</c:v>
                </c:pt>
                <c:pt idx="1">
                  <c:v>20.990985003017538</c:v>
                </c:pt>
                <c:pt idx="2">
                  <c:v>23.391246646933169</c:v>
                </c:pt>
                <c:pt idx="3">
                  <c:v>26.229183277055121</c:v>
                </c:pt>
                <c:pt idx="4">
                  <c:v>29.617082415144949</c:v>
                </c:pt>
                <c:pt idx="5">
                  <c:v>33.705687546343334</c:v>
                </c:pt>
                <c:pt idx="6">
                  <c:v>38.70127456379624</c:v>
                </c:pt>
                <c:pt idx="7">
                  <c:v>44.892331455419011</c:v>
                </c:pt>
                <c:pt idx="8">
                  <c:v>52.692528974875373</c:v>
                </c:pt>
                <c:pt idx="9">
                  <c:v>62.712344407440831</c:v>
                </c:pt>
                <c:pt idx="10">
                  <c:v>75.883225852584502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2766816"/>
        <c:axId val="372767208"/>
      </c:lineChart>
      <c:catAx>
        <c:axId val="372766816"/>
        <c:scaling>
          <c:orientation val="minMax"/>
        </c:scaling>
        <c:delete val="0"/>
        <c:axPos val="b"/>
        <c:majorTickMark val="out"/>
        <c:minorTickMark val="none"/>
        <c:tickLblPos val="nextTo"/>
        <c:crossAx val="372767208"/>
        <c:crosses val="autoZero"/>
        <c:auto val="1"/>
        <c:lblAlgn val="ctr"/>
        <c:lblOffset val="100"/>
        <c:noMultiLvlLbl val="0"/>
      </c:catAx>
      <c:valAx>
        <c:axId val="3727672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2766816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v>Геометрия канала</c:v>
          </c:tx>
          <c:val>
            <c:numRef>
              <c:f>ro_const_p_215!$G$3:$Q$3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2769952"/>
        <c:axId val="372765640"/>
      </c:lineChart>
      <c:catAx>
        <c:axId val="372769952"/>
        <c:scaling>
          <c:orientation val="minMax"/>
        </c:scaling>
        <c:delete val="0"/>
        <c:axPos val="b"/>
        <c:majorTickMark val="out"/>
        <c:minorTickMark val="none"/>
        <c:tickLblPos val="nextTo"/>
        <c:crossAx val="372765640"/>
        <c:crosses val="autoZero"/>
        <c:auto val="1"/>
        <c:lblAlgn val="ctr"/>
        <c:lblOffset val="100"/>
        <c:noMultiLvlLbl val="0"/>
      </c:catAx>
      <c:valAx>
        <c:axId val="372765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2769952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8932709440903162"/>
          <c:y val="7.4548702245552628E-2"/>
          <c:w val="0.70526137357830343"/>
          <c:h val="0.8326195683872849"/>
        </c:manualLayout>
      </c:layout>
      <c:lineChart>
        <c:grouping val="stacked"/>
        <c:varyColors val="0"/>
        <c:ser>
          <c:idx val="0"/>
          <c:order val="0"/>
          <c:tx>
            <c:v>Расход</c:v>
          </c:tx>
          <c:val>
            <c:numRef>
              <c:f>ro_var_p_105!$G$10:$Q$10</c:f>
              <c:numCache>
                <c:formatCode>0.000</c:formatCode>
                <c:ptCount val="11"/>
                <c:pt idx="0">
                  <c:v>0.45802108266294694</c:v>
                </c:pt>
                <c:pt idx="1">
                  <c:v>0.45802205274429714</c:v>
                </c:pt>
                <c:pt idx="2">
                  <c:v>0.45807673534866261</c:v>
                </c:pt>
                <c:pt idx="3">
                  <c:v>0.45816340495744534</c:v>
                </c:pt>
                <c:pt idx="4">
                  <c:v>0.45827075232910464</c:v>
                </c:pt>
                <c:pt idx="5">
                  <c:v>0.45838593888599438</c:v>
                </c:pt>
                <c:pt idx="6">
                  <c:v>0.45849551753028378</c:v>
                </c:pt>
                <c:pt idx="7">
                  <c:v>0.45858704157640262</c:v>
                </c:pt>
                <c:pt idx="8">
                  <c:v>0.4586514358057997</c:v>
                </c:pt>
                <c:pt idx="9">
                  <c:v>0.45868587055653737</c:v>
                </c:pt>
                <c:pt idx="10">
                  <c:v>0.4586961256338285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2769560"/>
        <c:axId val="372767600"/>
      </c:lineChart>
      <c:catAx>
        <c:axId val="372769560"/>
        <c:scaling>
          <c:orientation val="minMax"/>
        </c:scaling>
        <c:delete val="0"/>
        <c:axPos val="b"/>
        <c:majorTickMark val="out"/>
        <c:minorTickMark val="none"/>
        <c:tickLblPos val="nextTo"/>
        <c:crossAx val="372767600"/>
        <c:crosses val="autoZero"/>
        <c:auto val="1"/>
        <c:lblAlgn val="ctr"/>
        <c:lblOffset val="100"/>
        <c:noMultiLvlLbl val="0"/>
      </c:catAx>
      <c:valAx>
        <c:axId val="372767600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372769560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69832633420822399"/>
          <c:y val="1.388888888888891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6721062992125985"/>
          <c:y val="7.4548702245552628E-2"/>
          <c:w val="0.68402537182852163"/>
          <c:h val="0.8326195683872849"/>
        </c:manualLayout>
      </c:layout>
      <c:lineChart>
        <c:grouping val="stacked"/>
        <c:varyColors val="0"/>
        <c:ser>
          <c:idx val="0"/>
          <c:order val="0"/>
          <c:tx>
            <c:v>Давление</c:v>
          </c:tx>
          <c:val>
            <c:numRef>
              <c:f>ro_var_p_105!$G$14:$Q$14</c:f>
              <c:numCache>
                <c:formatCode>0</c:formatCode>
                <c:ptCount val="11"/>
                <c:pt idx="0">
                  <c:v>104795.36960394381</c:v>
                </c:pt>
                <c:pt idx="1">
                  <c:v>104746.20422899675</c:v>
                </c:pt>
                <c:pt idx="2">
                  <c:v>104681.88384740002</c:v>
                </c:pt>
                <c:pt idx="3">
                  <c:v>104596.46592138089</c:v>
                </c:pt>
                <c:pt idx="4">
                  <c:v>104481.0687341094</c:v>
                </c:pt>
                <c:pt idx="5">
                  <c:v>104322.10354246786</c:v>
                </c:pt>
                <c:pt idx="6">
                  <c:v>104098.15855164286</c:v>
                </c:pt>
                <c:pt idx="7">
                  <c:v>103774.30665277598</c:v>
                </c:pt>
                <c:pt idx="8">
                  <c:v>103291.15925986697</c:v>
                </c:pt>
                <c:pt idx="9">
                  <c:v>102542.43258943266</c:v>
                </c:pt>
                <c:pt idx="10">
                  <c:v>101325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2766032"/>
        <c:axId val="372766424"/>
      </c:lineChart>
      <c:catAx>
        <c:axId val="372766032"/>
        <c:scaling>
          <c:orientation val="minMax"/>
        </c:scaling>
        <c:delete val="0"/>
        <c:axPos val="b"/>
        <c:majorTickMark val="out"/>
        <c:minorTickMark val="none"/>
        <c:tickLblPos val="nextTo"/>
        <c:crossAx val="372766424"/>
        <c:crosses val="autoZero"/>
        <c:auto val="1"/>
        <c:lblAlgn val="ctr"/>
        <c:lblOffset val="100"/>
        <c:noMultiLvlLbl val="0"/>
      </c:catAx>
      <c:valAx>
        <c:axId val="372766424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372766032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cked"/>
        <c:varyColors val="0"/>
        <c:ser>
          <c:idx val="0"/>
          <c:order val="0"/>
          <c:val>
            <c:numRef>
              <c:f>ro_var_p_105!$G$13:$Q$13</c:f>
              <c:numCache>
                <c:formatCode>0.00</c:formatCode>
                <c:ptCount val="11"/>
                <c:pt idx="0" formatCode="General">
                  <c:v>17.96571550535436</c:v>
                </c:pt>
                <c:pt idx="1">
                  <c:v>19.913455981592517</c:v>
                </c:pt>
                <c:pt idx="2">
                  <c:v>22.200110360834749</c:v>
                </c:pt>
                <c:pt idx="3">
                  <c:v>24.908247456591255</c:v>
                </c:pt>
                <c:pt idx="4">
                  <c:v>28.148357627262506</c:v>
                </c:pt>
                <c:pt idx="5">
                  <c:v>32.070331583152644</c:v>
                </c:pt>
                <c:pt idx="6">
                  <c:v>36.882261654019779</c:v>
                </c:pt>
                <c:pt idx="7">
                  <c:v>42.881188334412563</c:v>
                </c:pt>
                <c:pt idx="8">
                  <c:v>50.505937196002144</c:v>
                </c:pt>
                <c:pt idx="9">
                  <c:v>60.433938702113757</c:v>
                </c:pt>
                <c:pt idx="10">
                  <c:v>73.774964942658258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2891696"/>
        <c:axId val="372893264"/>
      </c:lineChart>
      <c:catAx>
        <c:axId val="372891696"/>
        <c:scaling>
          <c:orientation val="minMax"/>
        </c:scaling>
        <c:delete val="0"/>
        <c:axPos val="b"/>
        <c:majorTickMark val="out"/>
        <c:minorTickMark val="none"/>
        <c:tickLblPos val="nextTo"/>
        <c:crossAx val="372893264"/>
        <c:crosses val="autoZero"/>
        <c:auto val="1"/>
        <c:lblAlgn val="ctr"/>
        <c:lblOffset val="100"/>
        <c:noMultiLvlLbl val="0"/>
      </c:catAx>
      <c:valAx>
        <c:axId val="372893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2891696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4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4" Type="http://schemas.openxmlformats.org/officeDocument/2006/relationships/chart" Target="../charts/chart1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499334</xdr:colOff>
      <xdr:row>34</xdr:row>
      <xdr:rowOff>9972</xdr:rowOff>
    </xdr:from>
    <xdr:to>
      <xdr:col>17</xdr:col>
      <xdr:colOff>153633</xdr:colOff>
      <xdr:row>49</xdr:row>
      <xdr:rowOff>9973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535641</xdr:colOff>
      <xdr:row>35</xdr:row>
      <xdr:rowOff>28015</xdr:rowOff>
    </xdr:from>
    <xdr:to>
      <xdr:col>7</xdr:col>
      <xdr:colOff>660586</xdr:colOff>
      <xdr:row>51</xdr:row>
      <xdr:rowOff>119902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438150</xdr:colOff>
          <xdr:row>16</xdr:row>
          <xdr:rowOff>123825</xdr:rowOff>
        </xdr:from>
        <xdr:to>
          <xdr:col>2</xdr:col>
          <xdr:colOff>409575</xdr:colOff>
          <xdr:row>17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523875</xdr:colOff>
      <xdr:row>19</xdr:row>
      <xdr:rowOff>47625</xdr:rowOff>
    </xdr:from>
    <xdr:to>
      <xdr:col>18</xdr:col>
      <xdr:colOff>493941</xdr:colOff>
      <xdr:row>35</xdr:row>
      <xdr:rowOff>4083</xdr:rowOff>
    </xdr:to>
    <xdr:graphicFrame macro="">
      <xdr:nvGraphicFramePr>
        <xdr:cNvPr id="7" name="Диаграмма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47625</xdr:colOff>
      <xdr:row>19</xdr:row>
      <xdr:rowOff>57150</xdr:rowOff>
    </xdr:from>
    <xdr:to>
      <xdr:col>9</xdr:col>
      <xdr:colOff>522516</xdr:colOff>
      <xdr:row>35</xdr:row>
      <xdr:rowOff>13608</xdr:rowOff>
    </xdr:to>
    <xdr:graphicFrame macro="">
      <xdr:nvGraphicFramePr>
        <xdr:cNvPr id="8" name="Диаграмма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0.14881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7214" y="106137"/>
          <a:ext cx="653142" cy="3129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U, m/s</a:t>
          </a:r>
          <a:endParaRPr lang="ru-RU" sz="11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0.91272</cdr:x>
      <cdr:y>0.88678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980216" y="2664279"/>
          <a:ext cx="476250" cy="340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X,</a:t>
          </a:r>
          <a:r>
            <a:rPr lang="en-US" sz="1100" baseline="0"/>
            <a:t> m</a:t>
          </a:r>
          <a:endParaRPr lang="ru-RU" sz="11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0.14881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7214" y="106137"/>
          <a:ext cx="653142" cy="3129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p, Pa</a:t>
          </a:r>
          <a:endParaRPr lang="ru-RU" sz="11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0.91272</cdr:x>
      <cdr:y>0.88678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980216" y="2664279"/>
          <a:ext cx="476250" cy="340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X,</a:t>
          </a:r>
          <a:r>
            <a:rPr lang="en-US" sz="1100" baseline="0"/>
            <a:t> m</a:t>
          </a:r>
          <a:endParaRPr lang="ru-RU" sz="1100"/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251684</xdr:colOff>
      <xdr:row>26</xdr:row>
      <xdr:rowOff>447</xdr:rowOff>
    </xdr:from>
    <xdr:to>
      <xdr:col>10</xdr:col>
      <xdr:colOff>10758</xdr:colOff>
      <xdr:row>41</xdr:row>
      <xdr:rowOff>448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307041</xdr:colOff>
      <xdr:row>40</xdr:row>
      <xdr:rowOff>180415</xdr:rowOff>
    </xdr:from>
    <xdr:to>
      <xdr:col>9</xdr:col>
      <xdr:colOff>651061</xdr:colOff>
      <xdr:row>57</xdr:row>
      <xdr:rowOff>81802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14568</xdr:colOff>
      <xdr:row>25</xdr:row>
      <xdr:rowOff>189941</xdr:rowOff>
    </xdr:from>
    <xdr:to>
      <xdr:col>17</xdr:col>
      <xdr:colOff>319368</xdr:colOff>
      <xdr:row>41</xdr:row>
      <xdr:rowOff>53229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21852</xdr:colOff>
      <xdr:row>41</xdr:row>
      <xdr:rowOff>64435</xdr:rowOff>
    </xdr:from>
    <xdr:to>
      <xdr:col>17</xdr:col>
      <xdr:colOff>326652</xdr:colOff>
      <xdr:row>56</xdr:row>
      <xdr:rowOff>118223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21</xdr:row>
          <xdr:rowOff>104775</xdr:rowOff>
        </xdr:from>
        <xdr:to>
          <xdr:col>2</xdr:col>
          <xdr:colOff>123825</xdr:colOff>
          <xdr:row>22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21</xdr:col>
      <xdr:colOff>0</xdr:colOff>
      <xdr:row>40</xdr:row>
      <xdr:rowOff>0</xdr:rowOff>
    </xdr:from>
    <xdr:to>
      <xdr:col>37</xdr:col>
      <xdr:colOff>286244</xdr:colOff>
      <xdr:row>77</xdr:row>
      <xdr:rowOff>137309</xdr:rowOff>
    </xdr:to>
    <xdr:graphicFrame macro="">
      <xdr:nvGraphicFramePr>
        <xdr:cNvPr id="7" name="Диаграмма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0.14881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7214" y="106137"/>
          <a:ext cx="653142" cy="3129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l-GR" sz="1100"/>
            <a:t>σ</a:t>
          </a:r>
          <a:endParaRPr lang="ru-RU" sz="11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0.94486</cdr:x>
      <cdr:y>0.91324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9792194" y="6562354"/>
          <a:ext cx="571500" cy="62345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X,</a:t>
          </a:r>
          <a:r>
            <a:rPr lang="en-US" sz="1100" baseline="0"/>
            <a:t> m</a:t>
          </a:r>
          <a:endParaRPr lang="ru-RU" sz="1100"/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537434</xdr:colOff>
      <xdr:row>22</xdr:row>
      <xdr:rowOff>76647</xdr:rowOff>
    </xdr:from>
    <xdr:to>
      <xdr:col>8</xdr:col>
      <xdr:colOff>86958</xdr:colOff>
      <xdr:row>37</xdr:row>
      <xdr:rowOff>76648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573741</xdr:colOff>
      <xdr:row>37</xdr:row>
      <xdr:rowOff>161365</xdr:rowOff>
    </xdr:from>
    <xdr:to>
      <xdr:col>7</xdr:col>
      <xdr:colOff>708211</xdr:colOff>
      <xdr:row>54</xdr:row>
      <xdr:rowOff>62752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557493</xdr:colOff>
      <xdr:row>19</xdr:row>
      <xdr:rowOff>161366</xdr:rowOff>
    </xdr:from>
    <xdr:to>
      <xdr:col>17</xdr:col>
      <xdr:colOff>252693</xdr:colOff>
      <xdr:row>35</xdr:row>
      <xdr:rowOff>24654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555252</xdr:colOff>
      <xdr:row>36</xdr:row>
      <xdr:rowOff>7285</xdr:rowOff>
    </xdr:from>
    <xdr:to>
      <xdr:col>17</xdr:col>
      <xdr:colOff>250452</xdr:colOff>
      <xdr:row>51</xdr:row>
      <xdr:rowOff>61073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17</xdr:row>
          <xdr:rowOff>104775</xdr:rowOff>
        </xdr:from>
        <xdr:to>
          <xdr:col>2</xdr:col>
          <xdr:colOff>190500</xdr:colOff>
          <xdr:row>18</xdr:row>
          <xdr:rowOff>152400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537434</xdr:colOff>
      <xdr:row>29</xdr:row>
      <xdr:rowOff>76647</xdr:rowOff>
    </xdr:from>
    <xdr:to>
      <xdr:col>8</xdr:col>
      <xdr:colOff>86958</xdr:colOff>
      <xdr:row>44</xdr:row>
      <xdr:rowOff>76648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573741</xdr:colOff>
      <xdr:row>44</xdr:row>
      <xdr:rowOff>161365</xdr:rowOff>
    </xdr:from>
    <xdr:to>
      <xdr:col>7</xdr:col>
      <xdr:colOff>708211</xdr:colOff>
      <xdr:row>61</xdr:row>
      <xdr:rowOff>62752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14568</xdr:colOff>
      <xdr:row>27</xdr:row>
      <xdr:rowOff>132791</xdr:rowOff>
    </xdr:from>
    <xdr:to>
      <xdr:col>17</xdr:col>
      <xdr:colOff>319368</xdr:colOff>
      <xdr:row>42</xdr:row>
      <xdr:rowOff>186579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240927</xdr:colOff>
      <xdr:row>43</xdr:row>
      <xdr:rowOff>140635</xdr:rowOff>
    </xdr:from>
    <xdr:to>
      <xdr:col>17</xdr:col>
      <xdr:colOff>545727</xdr:colOff>
      <xdr:row>59</xdr:row>
      <xdr:rowOff>3923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361950</xdr:colOff>
          <xdr:row>19</xdr:row>
          <xdr:rowOff>180975</xdr:rowOff>
        </xdr:from>
        <xdr:to>
          <xdr:col>2</xdr:col>
          <xdr:colOff>333375</xdr:colOff>
          <xdr:row>21</xdr:row>
          <xdr:rowOff>38100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B1:AH36"/>
  <sheetViews>
    <sheetView topLeftCell="B1" zoomScaleNormal="100" workbookViewId="0">
      <selection activeCell="AE20" sqref="AE20:AF20"/>
    </sheetView>
  </sheetViews>
  <sheetFormatPr defaultRowHeight="15" x14ac:dyDescent="0.25"/>
  <cols>
    <col min="7" max="7" width="9.42578125" bestFit="1" customWidth="1"/>
    <col min="8" max="8" width="10.42578125" bestFit="1" customWidth="1"/>
    <col min="27" max="28" width="9.5703125" bestFit="1" customWidth="1"/>
  </cols>
  <sheetData>
    <row r="1" spans="2:17" x14ac:dyDescent="0.25">
      <c r="F1" s="4" t="s">
        <v>9</v>
      </c>
      <c r="G1" s="4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</row>
    <row r="2" spans="2:17" x14ac:dyDescent="0.25">
      <c r="F2" s="4" t="s">
        <v>10</v>
      </c>
      <c r="G2" s="5">
        <v>0</v>
      </c>
      <c r="H2" s="5">
        <f>G2+$C$4</f>
        <v>0.01</v>
      </c>
      <c r="I2" s="5">
        <f t="shared" ref="I2:Q2" si="0">H2+$C$4</f>
        <v>0.02</v>
      </c>
      <c r="J2" s="5">
        <f t="shared" si="0"/>
        <v>0.03</v>
      </c>
      <c r="K2" s="5">
        <f t="shared" si="0"/>
        <v>0.04</v>
      </c>
      <c r="L2" s="5">
        <f t="shared" si="0"/>
        <v>0.05</v>
      </c>
      <c r="M2" s="5">
        <f t="shared" si="0"/>
        <v>6.0000000000000005E-2</v>
      </c>
      <c r="N2" s="5">
        <f t="shared" si="0"/>
        <v>7.0000000000000007E-2</v>
      </c>
      <c r="O2" s="5">
        <f t="shared" si="0"/>
        <v>0.08</v>
      </c>
      <c r="P2" s="5">
        <f t="shared" si="0"/>
        <v>0.09</v>
      </c>
      <c r="Q2" s="5">
        <f t="shared" si="0"/>
        <v>9.9999999999999992E-2</v>
      </c>
    </row>
    <row r="3" spans="2:17" x14ac:dyDescent="0.25">
      <c r="B3" s="4" t="s">
        <v>0</v>
      </c>
      <c r="C3" s="4">
        <v>0.1</v>
      </c>
      <c r="F3" s="4" t="s">
        <v>3</v>
      </c>
      <c r="G3" s="1">
        <v>0.08</v>
      </c>
      <c r="H3" s="4">
        <f>G3+($Q$3-$G$3)/10</f>
        <v>7.5999999999999998E-2</v>
      </c>
      <c r="I3" s="4">
        <f t="shared" ref="I3:P3" si="1">H3+($Q$3-$G$3)/10</f>
        <v>7.1999999999999995E-2</v>
      </c>
      <c r="J3" s="4">
        <f t="shared" si="1"/>
        <v>6.7999999999999991E-2</v>
      </c>
      <c r="K3" s="4">
        <f t="shared" si="1"/>
        <v>6.3999999999999987E-2</v>
      </c>
      <c r="L3" s="4">
        <f t="shared" si="1"/>
        <v>5.9999999999999984E-2</v>
      </c>
      <c r="M3" s="4">
        <f t="shared" si="1"/>
        <v>5.599999999999998E-2</v>
      </c>
      <c r="N3" s="4">
        <f t="shared" si="1"/>
        <v>5.1999999999999977E-2</v>
      </c>
      <c r="O3" s="4">
        <f t="shared" si="1"/>
        <v>4.7999999999999973E-2</v>
      </c>
      <c r="P3" s="4">
        <f t="shared" si="1"/>
        <v>4.399999999999997E-2</v>
      </c>
      <c r="Q3" s="1">
        <v>0.04</v>
      </c>
    </row>
    <row r="4" spans="2:17" x14ac:dyDescent="0.25">
      <c r="B4" s="4" t="s">
        <v>1</v>
      </c>
      <c r="C4" s="4">
        <f>C3/10</f>
        <v>0.01</v>
      </c>
      <c r="F4" s="4" t="s">
        <v>11</v>
      </c>
      <c r="G4" s="5">
        <f>(PI()*(2*G3)^2)/4</f>
        <v>2.0106192982974676E-2</v>
      </c>
      <c r="H4" s="5">
        <f t="shared" ref="H4:Q4" si="2">(PI()*(2*H3)^2)/4</f>
        <v>1.8145839167134643E-2</v>
      </c>
      <c r="I4" s="5">
        <f t="shared" si="2"/>
        <v>1.6286016316209486E-2</v>
      </c>
      <c r="J4" s="5">
        <f t="shared" si="2"/>
        <v>1.4526724430199199E-2</v>
      </c>
      <c r="K4" s="5">
        <f t="shared" si="2"/>
        <v>1.2867963509103787E-2</v>
      </c>
      <c r="L4" s="5">
        <f t="shared" si="2"/>
        <v>1.1309733552923249E-2</v>
      </c>
      <c r="M4" s="5">
        <f t="shared" si="2"/>
        <v>9.8520345616575841E-3</v>
      </c>
      <c r="N4" s="5">
        <f t="shared" si="2"/>
        <v>8.4948665353067939E-3</v>
      </c>
      <c r="O4" s="5">
        <f t="shared" si="2"/>
        <v>7.2382294738708754E-3</v>
      </c>
      <c r="P4" s="5">
        <f t="shared" si="2"/>
        <v>6.0821233773498311E-3</v>
      </c>
      <c r="Q4" s="5">
        <f t="shared" si="2"/>
        <v>5.0265482457436689E-3</v>
      </c>
    </row>
    <row r="5" spans="2:17" x14ac:dyDescent="0.25">
      <c r="F5" s="4" t="s">
        <v>12</v>
      </c>
      <c r="G5" s="4">
        <v>106.00954929205264</v>
      </c>
      <c r="H5" s="4">
        <v>117.46237628892533</v>
      </c>
      <c r="I5" s="4">
        <v>130.89321164607043</v>
      </c>
      <c r="J5" s="4">
        <v>146.76927174460837</v>
      </c>
      <c r="K5" s="4">
        <v>165.71857757810079</v>
      </c>
      <c r="L5" s="4">
        <v>188.58460729232979</v>
      </c>
      <c r="M5" s="4">
        <v>216.52196060152397</v>
      </c>
      <c r="N5" s="4">
        <v>251.14569920898722</v>
      </c>
      <c r="O5" s="4">
        <v>294.7716628031402</v>
      </c>
      <c r="P5" s="4">
        <v>350.81673331494306</v>
      </c>
      <c r="Q5" s="4">
        <v>424.49249005563195</v>
      </c>
    </row>
    <row r="6" spans="2:17" x14ac:dyDescent="0.25">
      <c r="B6" s="4" t="s">
        <v>2</v>
      </c>
      <c r="C6" s="4">
        <v>1.4</v>
      </c>
      <c r="F6" s="4" t="s">
        <v>6</v>
      </c>
      <c r="G6" s="4">
        <v>208341.47045939579</v>
      </c>
      <c r="H6" s="4">
        <v>206747.24224669536</v>
      </c>
      <c r="I6" s="4">
        <v>204663.90137107947</v>
      </c>
      <c r="J6" s="4">
        <v>201902.58255528979</v>
      </c>
      <c r="K6" s="4">
        <v>198181.23806084754</v>
      </c>
      <c r="L6" s="4">
        <v>193071.15248278095</v>
      </c>
      <c r="M6" s="4">
        <v>185902.88660991949</v>
      </c>
      <c r="N6" s="4">
        <v>175598.48108668765</v>
      </c>
      <c r="O6" s="4">
        <v>160359.65891136561</v>
      </c>
      <c r="P6" s="4">
        <v>137060.67742173275</v>
      </c>
      <c r="Q6" s="4">
        <v>100000</v>
      </c>
    </row>
    <row r="7" spans="2:17" x14ac:dyDescent="0.25">
      <c r="B7" s="4" t="s">
        <v>3</v>
      </c>
      <c r="C7" s="4">
        <v>286.97199999999998</v>
      </c>
      <c r="F7" s="4" t="s">
        <v>13</v>
      </c>
      <c r="G7" s="4">
        <v>1.1850000000000001</v>
      </c>
      <c r="H7" s="4">
        <v>1.1850000000000001</v>
      </c>
      <c r="I7" s="4">
        <v>1.1850000000000001</v>
      </c>
      <c r="J7" s="4">
        <v>1.1850000000000001</v>
      </c>
      <c r="K7" s="4">
        <v>1.1850000000000001</v>
      </c>
      <c r="L7" s="4">
        <v>1.1850000000000001</v>
      </c>
      <c r="M7" s="4">
        <v>1.1850000000000001</v>
      </c>
      <c r="N7" s="4">
        <v>1.1850000000000001</v>
      </c>
      <c r="O7" s="4">
        <v>1.1850000000000001</v>
      </c>
      <c r="P7" s="4">
        <v>1.1850000000000001</v>
      </c>
      <c r="Q7" s="4">
        <v>1.1850000000000001</v>
      </c>
    </row>
    <row r="8" spans="2:17" x14ac:dyDescent="0.25">
      <c r="B8" s="4" t="s">
        <v>4</v>
      </c>
      <c r="C8" s="4">
        <v>1004.4</v>
      </c>
    </row>
    <row r="10" spans="2:17" x14ac:dyDescent="0.25">
      <c r="B10" s="4" t="s">
        <v>5</v>
      </c>
      <c r="C10" s="4">
        <v>215000</v>
      </c>
      <c r="F10" s="4" t="s">
        <v>14</v>
      </c>
      <c r="G10" s="5">
        <f>G4*G7*G13</f>
        <v>2.5257722651690222</v>
      </c>
      <c r="H10" s="5">
        <f>H4*H7*H13</f>
        <v>2.5257781221733611</v>
      </c>
      <c r="I10" s="5">
        <f t="shared" ref="I10:Q10" si="3">I4*I7*I13</f>
        <v>2.5261053581333432</v>
      </c>
      <c r="J10" s="5">
        <f t="shared" si="3"/>
        <v>2.5265173633137388</v>
      </c>
      <c r="K10" s="5">
        <f t="shared" si="3"/>
        <v>2.5269714848570279</v>
      </c>
      <c r="L10" s="5">
        <f t="shared" si="3"/>
        <v>2.5274218902139118</v>
      </c>
      <c r="M10" s="5">
        <f t="shared" si="3"/>
        <v>2.5278236876508027</v>
      </c>
      <c r="N10" s="5">
        <f t="shared" si="3"/>
        <v>2.5281392573431978</v>
      </c>
      <c r="O10" s="5">
        <f t="shared" si="3"/>
        <v>2.5283465364940381</v>
      </c>
      <c r="P10" s="5">
        <f t="shared" si="3"/>
        <v>2.5284475286754851</v>
      </c>
      <c r="Q10" s="5">
        <f t="shared" si="3"/>
        <v>2.528472593012848</v>
      </c>
    </row>
    <row r="11" spans="2:17" x14ac:dyDescent="0.25">
      <c r="B11" s="4" t="s">
        <v>7</v>
      </c>
      <c r="C11" s="4">
        <v>288.16000000000003</v>
      </c>
      <c r="F11" s="4" t="s">
        <v>15</v>
      </c>
      <c r="G11" s="6">
        <v>0</v>
      </c>
      <c r="H11" s="6">
        <f>(H13)*(H10-I10)</f>
        <v>-3.8438002600236332E-2</v>
      </c>
      <c r="I11" s="6">
        <f t="shared" ref="I11:P11" si="4">(I13)*(I10-J10)</f>
        <v>-5.3928820388188865E-2</v>
      </c>
      <c r="J11" s="6">
        <f t="shared" si="4"/>
        <v>-6.6651256929530514E-2</v>
      </c>
      <c r="K11" s="6">
        <f t="shared" si="4"/>
        <v>-7.4640702351577645E-2</v>
      </c>
      <c r="L11" s="6">
        <f t="shared" si="4"/>
        <v>-7.5772947428171131E-2</v>
      </c>
      <c r="M11" s="6">
        <f t="shared" si="4"/>
        <v>-6.8327855222281367E-2</v>
      </c>
      <c r="N11" s="6">
        <f t="shared" si="4"/>
        <v>-5.2057307637008658E-2</v>
      </c>
      <c r="O11" s="6">
        <f t="shared" si="4"/>
        <v>-2.9769644855858365E-2</v>
      </c>
      <c r="P11" s="6">
        <f t="shared" si="4"/>
        <v>-8.792990356689406E-3</v>
      </c>
      <c r="Q11" s="2">
        <v>0</v>
      </c>
    </row>
    <row r="12" spans="2:17" x14ac:dyDescent="0.25">
      <c r="B12" s="4" t="s">
        <v>6</v>
      </c>
      <c r="C12" s="4">
        <v>100000</v>
      </c>
    </row>
    <row r="13" spans="2:17" x14ac:dyDescent="0.25">
      <c r="F13" s="4" t="s">
        <v>22</v>
      </c>
      <c r="G13" s="2">
        <f>(H4*H5*H7)/(G4*G7)</f>
        <v>106.0097946007551</v>
      </c>
      <c r="H13" s="7">
        <f t="shared" ref="H13:Q13" si="5">((G6-H6)/H7+G5*H5)^0.5</f>
        <v>117.46264867201269</v>
      </c>
      <c r="I13" s="7">
        <f t="shared" si="5"/>
        <v>130.89354929085408</v>
      </c>
      <c r="J13" s="7">
        <f t="shared" si="5"/>
        <v>146.76964331350783</v>
      </c>
      <c r="K13" s="7">
        <f t="shared" si="5"/>
        <v>165.71894896627057</v>
      </c>
      <c r="L13" s="7">
        <f t="shared" si="5"/>
        <v>188.58494472864786</v>
      </c>
      <c r="M13" s="7">
        <f t="shared" si="5"/>
        <v>216.52223540127918</v>
      </c>
      <c r="N13" s="7">
        <f t="shared" si="5"/>
        <v>251.14589395978049</v>
      </c>
      <c r="O13" s="7">
        <f t="shared" si="5"/>
        <v>294.77177766958192</v>
      </c>
      <c r="P13" s="7">
        <f t="shared" si="5"/>
        <v>350.81678918400701</v>
      </c>
      <c r="Q13" s="7">
        <f t="shared" si="5"/>
        <v>424.49252283795033</v>
      </c>
    </row>
    <row r="14" spans="2:17" x14ac:dyDescent="0.25">
      <c r="B14" s="4" t="s">
        <v>8</v>
      </c>
      <c r="C14" s="4">
        <v>11</v>
      </c>
      <c r="F14" s="4" t="s">
        <v>6</v>
      </c>
      <c r="G14" s="3">
        <f>C10-(G7*G13^2)/2</f>
        <v>208341.43964335814</v>
      </c>
      <c r="H14" s="4">
        <f>H6+H11</f>
        <v>206747.20380869275</v>
      </c>
      <c r="I14" s="4">
        <f t="shared" ref="I14:Q14" si="6">I6+I11</f>
        <v>204663.84744225908</v>
      </c>
      <c r="J14" s="4">
        <f t="shared" si="6"/>
        <v>201902.51590403286</v>
      </c>
      <c r="K14" s="4">
        <f t="shared" si="6"/>
        <v>198181.1634201452</v>
      </c>
      <c r="L14" s="4">
        <f t="shared" si="6"/>
        <v>193071.07670983352</v>
      </c>
      <c r="M14" s="4">
        <f t="shared" si="6"/>
        <v>185902.81828206425</v>
      </c>
      <c r="N14" s="4">
        <f t="shared" si="6"/>
        <v>175598.42902938</v>
      </c>
      <c r="O14" s="4">
        <f t="shared" si="6"/>
        <v>160359.62914172074</v>
      </c>
      <c r="P14" s="4">
        <f t="shared" si="6"/>
        <v>137060.66862874239</v>
      </c>
      <c r="Q14" s="2">
        <f t="shared" si="6"/>
        <v>100000</v>
      </c>
    </row>
    <row r="15" spans="2:17" x14ac:dyDescent="0.25">
      <c r="F15" s="4" t="s">
        <v>13</v>
      </c>
      <c r="G15" s="4">
        <v>1.1850000000000001</v>
      </c>
      <c r="H15" s="4">
        <v>1.1850000000000001</v>
      </c>
      <c r="I15" s="4">
        <v>1.1850000000000001</v>
      </c>
      <c r="J15" s="4">
        <v>1.1850000000000001</v>
      </c>
      <c r="K15" s="4">
        <v>1.1850000000000001</v>
      </c>
      <c r="L15" s="4">
        <v>1.1850000000000001</v>
      </c>
      <c r="M15" s="4">
        <v>1.1850000000000001</v>
      </c>
      <c r="N15" s="4">
        <v>1.1850000000000001</v>
      </c>
      <c r="O15" s="4">
        <v>1.1850000000000001</v>
      </c>
      <c r="P15" s="4">
        <v>1.1850000000000001</v>
      </c>
      <c r="Q15" s="4">
        <v>1.1850000000000001</v>
      </c>
    </row>
    <row r="17" spans="6:34" x14ac:dyDescent="0.25">
      <c r="F17" s="4" t="s">
        <v>16</v>
      </c>
      <c r="G17" s="7">
        <f>$C$11-(G13^2)/(2*$C$8)</f>
        <v>282.56557718474005</v>
      </c>
      <c r="H17" s="7">
        <f t="shared" ref="H17:Q17" si="7">$C$11-(H13^2)/(2*$C$8)</f>
        <v>281.29148455145128</v>
      </c>
      <c r="I17" s="7">
        <f t="shared" si="7"/>
        <v>279.63096712168596</v>
      </c>
      <c r="J17" s="7">
        <f t="shared" si="7"/>
        <v>277.43651921626133</v>
      </c>
      <c r="K17" s="7">
        <f t="shared" si="7"/>
        <v>274.48876839581573</v>
      </c>
      <c r="L17" s="7">
        <f t="shared" si="7"/>
        <v>270.4557579757531</v>
      </c>
      <c r="M17" s="7">
        <f t="shared" si="7"/>
        <v>264.82174909240996</v>
      </c>
      <c r="N17" s="7">
        <f t="shared" si="7"/>
        <v>256.76102546154061</v>
      </c>
      <c r="O17" s="7">
        <f t="shared" si="7"/>
        <v>244.90512101230317</v>
      </c>
      <c r="P17" s="7">
        <f t="shared" si="7"/>
        <v>226.89336341428915</v>
      </c>
      <c r="Q17" s="7">
        <f t="shared" si="7"/>
        <v>198.4577389758424</v>
      </c>
    </row>
    <row r="18" spans="6:34" x14ac:dyDescent="0.25">
      <c r="F18" s="4" t="s">
        <v>23</v>
      </c>
      <c r="G18" s="8">
        <f>SQRT($C$6*$C$7*G17)</f>
        <v>336.93288996802153</v>
      </c>
      <c r="H18" s="8">
        <f t="shared" ref="H18:Q18" si="8">SQRT($C$6*$C$7*H17)</f>
        <v>336.17241389884845</v>
      </c>
      <c r="I18" s="8">
        <f t="shared" si="8"/>
        <v>335.17870018183169</v>
      </c>
      <c r="J18" s="8">
        <f t="shared" si="8"/>
        <v>333.86092599994464</v>
      </c>
      <c r="K18" s="8">
        <f t="shared" si="8"/>
        <v>332.0825607913153</v>
      </c>
      <c r="L18" s="8">
        <f t="shared" si="8"/>
        <v>329.6339207195536</v>
      </c>
      <c r="M18" s="8">
        <f t="shared" si="8"/>
        <v>326.18246086012334</v>
      </c>
      <c r="N18" s="8">
        <f t="shared" si="8"/>
        <v>321.17987950406996</v>
      </c>
      <c r="O18" s="8">
        <f t="shared" si="8"/>
        <v>313.67702711865866</v>
      </c>
      <c r="P18" s="8">
        <f t="shared" si="8"/>
        <v>301.92194223013263</v>
      </c>
      <c r="Q18" s="8">
        <f t="shared" si="8"/>
        <v>282.36950964494309</v>
      </c>
    </row>
    <row r="19" spans="6:34" x14ac:dyDescent="0.25">
      <c r="F19" s="4" t="s">
        <v>18</v>
      </c>
      <c r="G19" s="7">
        <f>G13/G18</f>
        <v>0.31463177907866618</v>
      </c>
      <c r="H19" s="7">
        <f t="shared" ref="H19:Q19" si="9">H13/H18</f>
        <v>0.34941192023970252</v>
      </c>
      <c r="I19" s="7">
        <f t="shared" si="9"/>
        <v>0.39051869710051806</v>
      </c>
      <c r="J19" s="7">
        <f t="shared" si="9"/>
        <v>0.43961311996580327</v>
      </c>
      <c r="K19" s="7">
        <f t="shared" si="9"/>
        <v>0.49902936357567529</v>
      </c>
      <c r="L19" s="7">
        <f t="shared" si="9"/>
        <v>0.57210418247305439</v>
      </c>
      <c r="M19" s="7">
        <f t="shared" si="9"/>
        <v>0.66380710609124471</v>
      </c>
      <c r="N19" s="7">
        <f t="shared" si="9"/>
        <v>0.78194778062552328</v>
      </c>
      <c r="O19" s="7">
        <f t="shared" si="9"/>
        <v>0.93973020714097366</v>
      </c>
      <c r="P19" s="7">
        <f t="shared" si="9"/>
        <v>1.1619453246515137</v>
      </c>
      <c r="Q19" s="14">
        <f t="shared" si="9"/>
        <v>1.5033228034135679</v>
      </c>
    </row>
    <row r="22" spans="6:34" x14ac:dyDescent="0.25">
      <c r="V22" s="15" t="s">
        <v>25</v>
      </c>
      <c r="W22" s="29"/>
      <c r="X22" s="30"/>
      <c r="Y22" s="30"/>
      <c r="Z22" s="30"/>
      <c r="AA22" s="30"/>
      <c r="AB22" s="31"/>
    </row>
    <row r="23" spans="6:34" x14ac:dyDescent="0.25">
      <c r="L23" s="12"/>
      <c r="M23" s="12"/>
      <c r="N23" s="12"/>
      <c r="O23" s="12"/>
      <c r="P23" s="12"/>
      <c r="Q23" s="12"/>
      <c r="V23" s="15" t="s">
        <v>10</v>
      </c>
      <c r="W23" s="16">
        <v>0</v>
      </c>
      <c r="X23" s="16">
        <v>2.5000000000000001E-2</v>
      </c>
      <c r="Y23" s="16">
        <v>0.05</v>
      </c>
      <c r="Z23" s="16">
        <v>7.4999999999999997E-2</v>
      </c>
      <c r="AA23" s="16">
        <v>0.1</v>
      </c>
      <c r="AB23" s="18"/>
    </row>
    <row r="24" spans="6:34" x14ac:dyDescent="0.25">
      <c r="L24" s="12"/>
      <c r="M24" s="12"/>
      <c r="N24" s="12"/>
      <c r="O24" s="12"/>
      <c r="P24" s="12"/>
      <c r="Q24" s="12"/>
      <c r="V24" s="15" t="s">
        <v>6</v>
      </c>
      <c r="W24" s="17">
        <v>207771</v>
      </c>
      <c r="X24" s="17">
        <v>203257</v>
      </c>
      <c r="Y24" s="17">
        <v>192492</v>
      </c>
      <c r="Z24" s="17">
        <v>168165</v>
      </c>
      <c r="AA24" s="15">
        <v>101325</v>
      </c>
      <c r="AB24" s="19"/>
    </row>
    <row r="25" spans="6:34" x14ac:dyDescent="0.25">
      <c r="L25" s="12"/>
      <c r="M25" s="12"/>
      <c r="N25" s="12"/>
      <c r="O25" s="12"/>
      <c r="P25" s="12"/>
      <c r="Q25" s="12"/>
      <c r="V25" s="15" t="s">
        <v>12</v>
      </c>
      <c r="W25" s="17">
        <v>118.4877</v>
      </c>
      <c r="X25" s="17">
        <v>148.65209999999999</v>
      </c>
      <c r="Y25" s="17">
        <v>200.7876</v>
      </c>
      <c r="Z25" s="17">
        <v>285.13</v>
      </c>
      <c r="AA25" s="17">
        <v>440.15249999999997</v>
      </c>
      <c r="AB25" s="11"/>
    </row>
    <row r="26" spans="6:34" x14ac:dyDescent="0.25">
      <c r="L26" s="12"/>
      <c r="M26" s="12"/>
      <c r="N26" s="12"/>
      <c r="O26" s="12"/>
      <c r="P26" s="12"/>
      <c r="Q26" s="12"/>
      <c r="V26" s="20"/>
    </row>
    <row r="28" spans="6:34" x14ac:dyDescent="0.25">
      <c r="V28" s="21"/>
      <c r="W28" s="19"/>
      <c r="X28" s="26"/>
      <c r="Y28" s="26"/>
      <c r="Z28" s="26"/>
      <c r="AA28" s="26"/>
      <c r="AB28" s="26"/>
      <c r="AC28" s="26"/>
      <c r="AD28" s="26"/>
      <c r="AE28" s="26"/>
      <c r="AF28" s="26"/>
      <c r="AG28" s="26"/>
      <c r="AH28" s="26"/>
    </row>
    <row r="29" spans="6:34" x14ac:dyDescent="0.25">
      <c r="V29" s="21"/>
      <c r="W29" s="27"/>
      <c r="X29" s="24"/>
      <c r="Y29" s="24"/>
      <c r="Z29" s="24"/>
      <c r="AA29" s="24"/>
      <c r="AB29" s="24"/>
      <c r="AC29" s="24"/>
      <c r="AD29" s="24"/>
      <c r="AE29" s="24"/>
      <c r="AF29" s="24"/>
      <c r="AG29" s="24"/>
      <c r="AH29" s="24"/>
    </row>
    <row r="30" spans="6:34" x14ac:dyDescent="0.25">
      <c r="V30" s="21"/>
      <c r="W30" s="24"/>
      <c r="X30" s="24"/>
      <c r="Y30" s="24"/>
      <c r="Z30" s="24"/>
      <c r="AA30" s="24"/>
      <c r="AB30" s="24"/>
      <c r="AC30" s="24"/>
      <c r="AD30" s="24"/>
      <c r="AE30" s="24"/>
      <c r="AF30" s="24"/>
      <c r="AG30" s="24"/>
      <c r="AH30" s="24"/>
    </row>
    <row r="31" spans="6:34" x14ac:dyDescent="0.25">
      <c r="V31" s="21"/>
      <c r="W31" s="24"/>
      <c r="X31" s="24"/>
      <c r="Y31" s="24"/>
      <c r="Z31" s="24"/>
      <c r="AA31" s="24"/>
      <c r="AB31" s="24"/>
      <c r="AC31" s="24"/>
      <c r="AD31" s="24"/>
      <c r="AE31" s="24"/>
      <c r="AF31" s="24"/>
      <c r="AG31" s="24"/>
      <c r="AH31" s="24"/>
    </row>
    <row r="32" spans="6:34" x14ac:dyDescent="0.25">
      <c r="V32" s="21"/>
      <c r="W32" s="24"/>
      <c r="X32" s="24"/>
      <c r="Y32" s="24"/>
      <c r="Z32" s="24"/>
      <c r="AA32" s="24"/>
      <c r="AB32" s="24"/>
      <c r="AC32" s="24"/>
      <c r="AD32" s="24"/>
      <c r="AE32" s="24"/>
      <c r="AF32" s="24"/>
      <c r="AG32" s="24"/>
      <c r="AH32" s="24"/>
    </row>
    <row r="33" spans="22:34" x14ac:dyDescent="0.25">
      <c r="V33" s="21"/>
      <c r="W33" s="24"/>
      <c r="X33" s="24"/>
      <c r="Y33" s="24"/>
      <c r="Z33" s="24"/>
      <c r="AA33" s="24"/>
      <c r="AB33" s="24"/>
      <c r="AC33" s="24"/>
      <c r="AD33" s="24"/>
      <c r="AE33" s="24"/>
      <c r="AF33" s="24"/>
      <c r="AG33" s="24"/>
      <c r="AH33" s="24"/>
    </row>
    <row r="34" spans="22:34" x14ac:dyDescent="0.25">
      <c r="V34" s="21"/>
      <c r="W34" s="24"/>
      <c r="X34" s="24"/>
      <c r="Y34" s="24"/>
      <c r="Z34" s="24"/>
      <c r="AA34" s="24"/>
      <c r="AB34" s="24"/>
      <c r="AC34" s="24"/>
      <c r="AD34" s="24"/>
      <c r="AE34" s="24"/>
      <c r="AF34" s="24"/>
      <c r="AG34" s="24"/>
      <c r="AH34" s="24"/>
    </row>
    <row r="35" spans="22:34" x14ac:dyDescent="0.25">
      <c r="V35" s="21"/>
      <c r="W35" s="24"/>
      <c r="X35" s="24"/>
      <c r="Y35" s="24"/>
      <c r="Z35" s="24"/>
      <c r="AA35" s="24"/>
      <c r="AB35" s="24"/>
      <c r="AC35" s="24"/>
      <c r="AD35" s="24"/>
      <c r="AE35" s="24"/>
      <c r="AF35" s="24"/>
      <c r="AG35" s="24"/>
      <c r="AH35" s="24"/>
    </row>
    <row r="36" spans="22:34" x14ac:dyDescent="0.25">
      <c r="V36" s="21"/>
      <c r="W36" s="24"/>
      <c r="X36" s="24"/>
      <c r="Y36" s="24"/>
      <c r="Z36" s="24"/>
      <c r="AA36" s="24"/>
      <c r="AB36" s="24"/>
      <c r="AC36" s="24"/>
      <c r="AD36" s="24"/>
      <c r="AE36" s="24"/>
      <c r="AF36" s="24"/>
      <c r="AG36" s="24"/>
      <c r="AH36" s="24"/>
    </row>
  </sheetData>
  <mergeCells count="1">
    <mergeCell ref="W22:AB22"/>
  </mergeCell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Kuznetsov">
                <anchor moveWithCells="1">
                  <from>
                    <xdr:col>1</xdr:col>
                    <xdr:colOff>438150</xdr:colOff>
                    <xdr:row>16</xdr:row>
                    <xdr:rowOff>123825</xdr:rowOff>
                  </from>
                  <to>
                    <xdr:col>2</xdr:col>
                    <xdr:colOff>409575</xdr:colOff>
                    <xdr:row>17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B1:AG38"/>
  <sheetViews>
    <sheetView tabSelected="1" topLeftCell="A19" workbookViewId="0">
      <selection activeCell="AC34" sqref="AC34"/>
    </sheetView>
  </sheetViews>
  <sheetFormatPr defaultRowHeight="15" x14ac:dyDescent="0.25"/>
  <cols>
    <col min="7" max="7" width="12" bestFit="1" customWidth="1"/>
    <col min="8" max="10" width="12.140625" bestFit="1" customWidth="1"/>
    <col min="11" max="17" width="10.42578125" bestFit="1" customWidth="1"/>
    <col min="24" max="26" width="11.5703125" bestFit="1" customWidth="1"/>
  </cols>
  <sheetData>
    <row r="1" spans="2:17" x14ac:dyDescent="0.25">
      <c r="F1" s="4" t="s">
        <v>9</v>
      </c>
      <c r="G1" s="4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</row>
    <row r="2" spans="2:17" x14ac:dyDescent="0.25">
      <c r="F2" s="4" t="s">
        <v>10</v>
      </c>
      <c r="G2" s="5">
        <v>0</v>
      </c>
      <c r="H2" s="5">
        <f>G2+$C$4</f>
        <v>0.01</v>
      </c>
      <c r="I2" s="5">
        <f t="shared" ref="I2:Q2" si="0">H2+$C$4</f>
        <v>0.02</v>
      </c>
      <c r="J2" s="5">
        <f t="shared" si="0"/>
        <v>0.03</v>
      </c>
      <c r="K2" s="5">
        <f t="shared" si="0"/>
        <v>0.04</v>
      </c>
      <c r="L2" s="5">
        <f t="shared" si="0"/>
        <v>0.05</v>
      </c>
      <c r="M2" s="5">
        <f t="shared" si="0"/>
        <v>6.0000000000000005E-2</v>
      </c>
      <c r="N2" s="5">
        <f t="shared" si="0"/>
        <v>7.0000000000000007E-2</v>
      </c>
      <c r="O2" s="5">
        <f t="shared" si="0"/>
        <v>0.08</v>
      </c>
      <c r="P2" s="5">
        <f t="shared" si="0"/>
        <v>0.09</v>
      </c>
      <c r="Q2" s="5">
        <f t="shared" si="0"/>
        <v>9.9999999999999992E-2</v>
      </c>
    </row>
    <row r="3" spans="2:17" x14ac:dyDescent="0.25">
      <c r="B3" s="4" t="s">
        <v>0</v>
      </c>
      <c r="C3" s="4">
        <v>0.1</v>
      </c>
      <c r="F3" s="4" t="s">
        <v>3</v>
      </c>
      <c r="G3" s="1">
        <v>0.08</v>
      </c>
      <c r="H3" s="4">
        <f>G3+($Q$3-$G$3)/10</f>
        <v>7.5999999999999998E-2</v>
      </c>
      <c r="I3" s="4">
        <f t="shared" ref="I3:P3" si="1">H3+($Q$3-$G$3)/10</f>
        <v>7.1999999999999995E-2</v>
      </c>
      <c r="J3" s="4">
        <f t="shared" si="1"/>
        <v>6.7999999999999991E-2</v>
      </c>
      <c r="K3" s="4">
        <f t="shared" si="1"/>
        <v>6.3999999999999987E-2</v>
      </c>
      <c r="L3" s="4">
        <f t="shared" si="1"/>
        <v>5.9999999999999984E-2</v>
      </c>
      <c r="M3" s="4">
        <f t="shared" si="1"/>
        <v>5.599999999999998E-2</v>
      </c>
      <c r="N3" s="4">
        <f t="shared" si="1"/>
        <v>5.1999999999999977E-2</v>
      </c>
      <c r="O3" s="4">
        <f t="shared" si="1"/>
        <v>4.7999999999999973E-2</v>
      </c>
      <c r="P3" s="4">
        <f t="shared" si="1"/>
        <v>4.399999999999997E-2</v>
      </c>
      <c r="Q3" s="1">
        <v>0.04</v>
      </c>
    </row>
    <row r="4" spans="2:17" x14ac:dyDescent="0.25">
      <c r="B4" s="4" t="s">
        <v>1</v>
      </c>
      <c r="C4" s="4">
        <f>C3/10</f>
        <v>0.01</v>
      </c>
      <c r="F4" s="4" t="s">
        <v>11</v>
      </c>
      <c r="G4" s="5">
        <f>(PI()*(2*G3)^2)/4</f>
        <v>2.0106192982974676E-2</v>
      </c>
      <c r="H4" s="5">
        <f t="shared" ref="H4:Q4" si="2">(PI()*(2*H3)^2)/4</f>
        <v>1.8145839167134643E-2</v>
      </c>
      <c r="I4" s="5">
        <f t="shared" si="2"/>
        <v>1.6286016316209486E-2</v>
      </c>
      <c r="J4" s="5">
        <f t="shared" si="2"/>
        <v>1.4526724430199199E-2</v>
      </c>
      <c r="K4" s="5">
        <f t="shared" si="2"/>
        <v>1.2867963509103787E-2</v>
      </c>
      <c r="L4" s="5">
        <f t="shared" si="2"/>
        <v>1.1309733552923249E-2</v>
      </c>
      <c r="M4" s="5">
        <f t="shared" si="2"/>
        <v>9.8520345616575841E-3</v>
      </c>
      <c r="N4" s="5">
        <f t="shared" si="2"/>
        <v>8.4948665353067939E-3</v>
      </c>
      <c r="O4" s="5">
        <f t="shared" si="2"/>
        <v>7.2382294738708754E-3</v>
      </c>
      <c r="P4" s="5">
        <f t="shared" si="2"/>
        <v>6.0821233773498311E-3</v>
      </c>
      <c r="Q4" s="5">
        <f t="shared" si="2"/>
        <v>5.0265482457436689E-3</v>
      </c>
    </row>
    <row r="5" spans="2:17" x14ac:dyDescent="0.25">
      <c r="F5" s="4" t="s">
        <v>12</v>
      </c>
      <c r="G5" s="4">
        <v>47.67367086089611</v>
      </c>
      <c r="H5" s="4">
        <v>52.954670178533625</v>
      </c>
      <c r="I5" s="4">
        <v>59.195146842836657</v>
      </c>
      <c r="J5" s="4">
        <v>66.657419926350613</v>
      </c>
      <c r="K5" s="4">
        <v>75.709637281083104</v>
      </c>
      <c r="L5" s="4">
        <v>86.889567566642185</v>
      </c>
      <c r="M5" s="4">
        <v>101.02745184417296</v>
      </c>
      <c r="N5" s="4">
        <v>119.51464681201423</v>
      </c>
      <c r="O5" s="4">
        <v>145.02001768913402</v>
      </c>
      <c r="P5" s="4">
        <v>184.23968271015482</v>
      </c>
      <c r="Q5" s="4">
        <v>329.83564806819794</v>
      </c>
    </row>
    <row r="6" spans="2:17" x14ac:dyDescent="0.25">
      <c r="B6" s="4" t="s">
        <v>2</v>
      </c>
      <c r="C6" s="4">
        <v>1.4</v>
      </c>
      <c r="F6" s="4" t="s">
        <v>6</v>
      </c>
      <c r="G6" s="4">
        <v>212159.78614288868</v>
      </c>
      <c r="H6" s="4">
        <v>211441.25445595369</v>
      </c>
      <c r="I6" s="4">
        <v>210495.21365707519</v>
      </c>
      <c r="J6" s="4">
        <v>209226.94721167852</v>
      </c>
      <c r="K6" s="4">
        <v>207490.13724158119</v>
      </c>
      <c r="L6" s="4">
        <v>205049.55216148117</v>
      </c>
      <c r="M6" s="4">
        <v>201506.59588699046</v>
      </c>
      <c r="N6" s="4">
        <v>196133.53441605147</v>
      </c>
      <c r="O6" s="4">
        <v>187433.78633899204</v>
      </c>
      <c r="P6" s="4">
        <v>171513.31025487505</v>
      </c>
      <c r="Q6" s="4">
        <v>100000</v>
      </c>
    </row>
    <row r="7" spans="2:17" x14ac:dyDescent="0.25">
      <c r="B7" s="4" t="s">
        <v>3</v>
      </c>
      <c r="C7" s="4">
        <v>286.97199999999998</v>
      </c>
      <c r="F7" s="4" t="s">
        <v>13</v>
      </c>
      <c r="G7" s="4">
        <v>2.5757184495733778</v>
      </c>
      <c r="H7" s="4">
        <v>2.5693632410108806</v>
      </c>
      <c r="I7" s="4">
        <v>2.560978706605618</v>
      </c>
      <c r="J7" s="4">
        <v>2.5497103012726741</v>
      </c>
      <c r="K7" s="4">
        <v>2.5342306836495814</v>
      </c>
      <c r="L7" s="4">
        <v>2.5123908715486065</v>
      </c>
      <c r="M7" s="4">
        <v>2.480515595121656</v>
      </c>
      <c r="N7" s="4">
        <v>2.4318100578562332</v>
      </c>
      <c r="O7" s="4">
        <v>2.3520528588575598</v>
      </c>
      <c r="P7" s="4">
        <v>2.2032764529171409</v>
      </c>
      <c r="Q7" s="4">
        <v>1.4891551554410567</v>
      </c>
    </row>
    <row r="8" spans="2:17" x14ac:dyDescent="0.25">
      <c r="B8" s="4" t="s">
        <v>4</v>
      </c>
      <c r="C8" s="4">
        <v>1004.4</v>
      </c>
    </row>
    <row r="10" spans="2:17" x14ac:dyDescent="0.25">
      <c r="B10" s="4" t="s">
        <v>5</v>
      </c>
      <c r="C10" s="4">
        <v>215000</v>
      </c>
      <c r="E10" s="10"/>
      <c r="F10" s="4" t="s">
        <v>14</v>
      </c>
      <c r="G10" s="5">
        <f t="shared" ref="G10:Q10" si="3">G4*G7*G13</f>
        <v>2.4689189393711706</v>
      </c>
      <c r="H10" s="5">
        <f t="shared" si="3"/>
        <v>2.4689189506401559</v>
      </c>
      <c r="I10" s="5">
        <f t="shared" si="3"/>
        <v>2.4689195409625331</v>
      </c>
      <c r="J10" s="5">
        <f t="shared" si="3"/>
        <v>2.4689201137575716</v>
      </c>
      <c r="K10" s="5">
        <f t="shared" si="3"/>
        <v>2.4689206508173718</v>
      </c>
      <c r="L10" s="5">
        <f t="shared" si="3"/>
        <v>2.468921132296388</v>
      </c>
      <c r="M10" s="5">
        <f t="shared" si="3"/>
        <v>2.4689215379510974</v>
      </c>
      <c r="N10" s="5">
        <f t="shared" si="3"/>
        <v>2.4689218493796257</v>
      </c>
      <c r="O10" s="5">
        <f t="shared" si="3"/>
        <v>2.4689220536829088</v>
      </c>
      <c r="P10" s="5">
        <f t="shared" si="3"/>
        <v>2.4689221489875375</v>
      </c>
      <c r="Q10" s="5">
        <f t="shared" si="3"/>
        <v>2.4689221522185174</v>
      </c>
    </row>
    <row r="11" spans="2:17" x14ac:dyDescent="0.25">
      <c r="B11" s="4" t="s">
        <v>7</v>
      </c>
      <c r="C11" s="4">
        <v>288.16000000000003</v>
      </c>
      <c r="E11" s="10"/>
      <c r="F11" s="4" t="s">
        <v>15</v>
      </c>
      <c r="G11" s="6">
        <v>0</v>
      </c>
      <c r="H11" s="6">
        <f>(H13)*(H10-I10)</f>
        <v>-3.1260326926476764E-5</v>
      </c>
      <c r="I11" s="6">
        <f t="shared" ref="I11:P11" si="4">(I13)*(I10-J10)</f>
        <v>-3.3906686550839336E-5</v>
      </c>
      <c r="J11" s="6">
        <f t="shared" si="4"/>
        <v>-3.5799020747183899E-5</v>
      </c>
      <c r="K11" s="6">
        <f t="shared" si="4"/>
        <v>-3.6452601774885981E-5</v>
      </c>
      <c r="L11" s="6">
        <f t="shared" si="4"/>
        <v>-3.524716235214194E-5</v>
      </c>
      <c r="M11" s="6">
        <f t="shared" si="4"/>
        <v>-3.1462830691261123E-5</v>
      </c>
      <c r="N11" s="6">
        <f t="shared" si="4"/>
        <v>-2.441723475384529E-5</v>
      </c>
      <c r="O11" s="6">
        <f t="shared" si="4"/>
        <v>-1.382107893663416E-5</v>
      </c>
      <c r="P11" s="6">
        <f t="shared" si="4"/>
        <v>-5.9527471687692116E-7</v>
      </c>
      <c r="Q11" s="2">
        <v>0</v>
      </c>
    </row>
    <row r="12" spans="2:17" x14ac:dyDescent="0.25">
      <c r="B12" s="4" t="s">
        <v>6</v>
      </c>
      <c r="C12" s="4">
        <v>100000</v>
      </c>
    </row>
    <row r="13" spans="2:17" x14ac:dyDescent="0.25">
      <c r="F13" s="4" t="s">
        <v>22</v>
      </c>
      <c r="G13" s="2">
        <f>(H4*H5*H7)/(G4*G7)</f>
        <v>47.673671077967214</v>
      </c>
      <c r="H13" s="7">
        <f t="shared" ref="H13:Q13" si="5">((G6-H6)/H7+G5*H5)^0.5</f>
        <v>52.954670420236745</v>
      </c>
      <c r="I13" s="7">
        <f t="shared" si="5"/>
        <v>59.1951470790531</v>
      </c>
      <c r="J13" s="7">
        <f t="shared" si="5"/>
        <v>66.657420150767351</v>
      </c>
      <c r="K13" s="7">
        <f t="shared" si="5"/>
        <v>75.709637486714499</v>
      </c>
      <c r="L13" s="7">
        <f t="shared" si="5"/>
        <v>86.889567746192668</v>
      </c>
      <c r="M13" s="7">
        <f t="shared" si="5"/>
        <v>101.02745199069265</v>
      </c>
      <c r="N13" s="7">
        <f t="shared" si="5"/>
        <v>119.51464691995724</v>
      </c>
      <c r="O13" s="7">
        <f t="shared" si="5"/>
        <v>145.02001775591143</v>
      </c>
      <c r="P13" s="7">
        <f t="shared" si="5"/>
        <v>184.23968273813966</v>
      </c>
      <c r="Q13" s="7">
        <f t="shared" si="5"/>
        <v>329.83564808453167</v>
      </c>
    </row>
    <row r="14" spans="2:17" x14ac:dyDescent="0.25">
      <c r="B14" s="4" t="s">
        <v>8</v>
      </c>
      <c r="C14" s="4">
        <v>2000</v>
      </c>
      <c r="F14" s="4" t="s">
        <v>6</v>
      </c>
      <c r="G14" s="3">
        <f>C10*G22</f>
        <v>212159.78611802554</v>
      </c>
      <c r="H14" s="9">
        <f>H6+H11</f>
        <v>211441.25442469335</v>
      </c>
      <c r="I14" s="9">
        <f t="shared" ref="I14:Q14" si="6">I6+I11</f>
        <v>210495.2136231685</v>
      </c>
      <c r="J14" s="9">
        <f t="shared" si="6"/>
        <v>209226.9471758795</v>
      </c>
      <c r="K14" s="9">
        <f t="shared" si="6"/>
        <v>207490.13720512859</v>
      </c>
      <c r="L14" s="9">
        <f t="shared" si="6"/>
        <v>205049.55212623402</v>
      </c>
      <c r="M14" s="9">
        <f t="shared" si="6"/>
        <v>201506.59585552762</v>
      </c>
      <c r="N14" s="9">
        <f t="shared" si="6"/>
        <v>196133.53439163422</v>
      </c>
      <c r="O14" s="9">
        <f t="shared" si="6"/>
        <v>187433.78632517095</v>
      </c>
      <c r="P14" s="9">
        <f t="shared" si="6"/>
        <v>171513.31025427979</v>
      </c>
      <c r="Q14" s="9">
        <f t="shared" si="6"/>
        <v>100000</v>
      </c>
    </row>
    <row r="15" spans="2:17" x14ac:dyDescent="0.25">
      <c r="E15" s="10"/>
      <c r="F15" s="4" t="s">
        <v>13</v>
      </c>
      <c r="G15" s="4">
        <f>G14/($C$7*G17)</f>
        <v>2.5757184493639858</v>
      </c>
      <c r="H15" s="4">
        <f t="shared" ref="H15:Q15" si="7">H14/($C$7*H17)</f>
        <v>2.5693632407451932</v>
      </c>
      <c r="I15" s="4">
        <f t="shared" si="7"/>
        <v>2.5609787063175746</v>
      </c>
      <c r="J15" s="4">
        <f t="shared" si="7"/>
        <v>2.5497103009692155</v>
      </c>
      <c r="K15" s="4">
        <f t="shared" si="7"/>
        <v>2.5342306833420376</v>
      </c>
      <c r="L15" s="4">
        <f t="shared" si="7"/>
        <v>2.5123908712539524</v>
      </c>
      <c r="M15" s="4">
        <f t="shared" si="7"/>
        <v>2.480515594863494</v>
      </c>
      <c r="N15" s="4">
        <f t="shared" si="7"/>
        <v>2.4318100576646269</v>
      </c>
      <c r="O15" s="4">
        <f t="shared" si="7"/>
        <v>2.3520528587657883</v>
      </c>
      <c r="P15" s="4">
        <f t="shared" si="7"/>
        <v>2.2032764529511883</v>
      </c>
      <c r="Q15" s="4">
        <f t="shared" si="7"/>
        <v>1.4891551554751918</v>
      </c>
    </row>
    <row r="17" spans="5:33" x14ac:dyDescent="0.25">
      <c r="F17" s="4" t="s">
        <v>16</v>
      </c>
      <c r="G17" s="7">
        <f>$C$11-(G13^2)/(2*$C$8)</f>
        <v>287.02858875246409</v>
      </c>
      <c r="H17" s="7">
        <f t="shared" ref="H17:Q17" si="8">$C$11-(H13^2)/(2*$C$8)</f>
        <v>286.7640436482896</v>
      </c>
      <c r="I17" s="7">
        <f t="shared" si="8"/>
        <v>286.41564245434552</v>
      </c>
      <c r="J17" s="7">
        <f t="shared" si="8"/>
        <v>285.94812641320397</v>
      </c>
      <c r="K17" s="7">
        <f t="shared" si="8"/>
        <v>285.30658044187095</v>
      </c>
      <c r="L17" s="7">
        <f t="shared" si="8"/>
        <v>284.40163829992025</v>
      </c>
      <c r="M17" s="7">
        <f t="shared" si="8"/>
        <v>283.07908300690377</v>
      </c>
      <c r="N17" s="7">
        <f t="shared" si="8"/>
        <v>281.04941117662185</v>
      </c>
      <c r="O17" s="7">
        <f t="shared" si="8"/>
        <v>277.69066231086975</v>
      </c>
      <c r="P17" s="7">
        <f t="shared" si="8"/>
        <v>271.26221988478181</v>
      </c>
      <c r="Q17" s="7">
        <f t="shared" si="8"/>
        <v>234.00251555787386</v>
      </c>
    </row>
    <row r="18" spans="5:33" x14ac:dyDescent="0.25">
      <c r="F18" s="4" t="s">
        <v>23</v>
      </c>
      <c r="G18" s="8">
        <f>SQRT($C$6*$C$7*G17)</f>
        <v>339.58332621031462</v>
      </c>
      <c r="H18" s="8">
        <f t="shared" ref="H18:Q18" si="9">SQRT($C$6*$C$7*H17)</f>
        <v>339.42679856984148</v>
      </c>
      <c r="I18" s="8">
        <f t="shared" si="9"/>
        <v>339.22054425546196</v>
      </c>
      <c r="J18" s="8">
        <f t="shared" si="9"/>
        <v>338.94357646409225</v>
      </c>
      <c r="K18" s="8">
        <f t="shared" si="9"/>
        <v>338.5631403499064</v>
      </c>
      <c r="L18" s="8">
        <f t="shared" si="9"/>
        <v>338.02578263305094</v>
      </c>
      <c r="M18" s="8">
        <f t="shared" si="9"/>
        <v>337.23890471314257</v>
      </c>
      <c r="N18" s="8">
        <f t="shared" si="9"/>
        <v>336.02773140597861</v>
      </c>
      <c r="O18" s="8">
        <f t="shared" si="9"/>
        <v>334.01380606577459</v>
      </c>
      <c r="P18" s="8">
        <f t="shared" si="9"/>
        <v>330.12501642663472</v>
      </c>
      <c r="Q18" s="8">
        <f t="shared" si="9"/>
        <v>306.61545599095922</v>
      </c>
    </row>
    <row r="19" spans="5:33" x14ac:dyDescent="0.25">
      <c r="E19" s="10"/>
      <c r="F19" s="4" t="s">
        <v>18</v>
      </c>
      <c r="G19" s="6">
        <f>G13/G18</f>
        <v>0.14038872759153495</v>
      </c>
      <c r="H19" s="6">
        <f t="shared" ref="H19:Q19" si="10">H13/H18</f>
        <v>0.15601204926469775</v>
      </c>
      <c r="I19" s="6">
        <f t="shared" si="10"/>
        <v>0.17450342581395692</v>
      </c>
      <c r="J19" s="6">
        <f t="shared" si="10"/>
        <v>0.19666229065659563</v>
      </c>
      <c r="K19" s="6">
        <f t="shared" si="10"/>
        <v>0.22362043726457723</v>
      </c>
      <c r="L19" s="6">
        <f t="shared" si="10"/>
        <v>0.25705011928192756</v>
      </c>
      <c r="M19" s="6">
        <f t="shared" si="10"/>
        <v>0.29957235235545321</v>
      </c>
      <c r="N19" s="6">
        <f t="shared" si="10"/>
        <v>0.35566899916234362</v>
      </c>
      <c r="O19" s="6">
        <f t="shared" si="10"/>
        <v>0.43417372312853986</v>
      </c>
      <c r="P19" s="6">
        <f t="shared" si="10"/>
        <v>0.55809064315210455</v>
      </c>
      <c r="Q19" s="6">
        <f t="shared" si="10"/>
        <v>1.0757306640610351</v>
      </c>
    </row>
    <row r="20" spans="5:33" x14ac:dyDescent="0.25">
      <c r="F20" s="4" t="s">
        <v>19</v>
      </c>
      <c r="G20" s="4">
        <f>1-((($C$6-1)/($C$6+1))*G21^2)</f>
        <v>0.99620768641092383</v>
      </c>
      <c r="H20" s="4">
        <f t="shared" ref="H20:Q20" si="11">1-((($C$6-1)/($C$6+1))*H21^2)</f>
        <v>0.9953580175689426</v>
      </c>
      <c r="I20" s="4">
        <f t="shared" si="11"/>
        <v>0.99425933403100286</v>
      </c>
      <c r="J20" s="4">
        <f t="shared" si="11"/>
        <v>0.99282016416084407</v>
      </c>
      <c r="K20" s="4">
        <f t="shared" si="11"/>
        <v>0.99090808266202512</v>
      </c>
      <c r="L20" s="4">
        <f t="shared" si="11"/>
        <v>0.98832755529028837</v>
      </c>
      <c r="M20" s="4">
        <f t="shared" si="11"/>
        <v>0.98478260804122109</v>
      </c>
      <c r="N20" s="4">
        <f t="shared" si="11"/>
        <v>0.97980840403273628</v>
      </c>
      <c r="O20" s="4">
        <f t="shared" si="11"/>
        <v>0.97262092170018966</v>
      </c>
      <c r="P20" s="4">
        <f t="shared" si="11"/>
        <v>0.96161693945295779</v>
      </c>
      <c r="Q20" s="4">
        <f t="shared" si="11"/>
        <v>0.93017143782197653</v>
      </c>
    </row>
    <row r="21" spans="5:33" x14ac:dyDescent="0.25">
      <c r="F21" s="4" t="s">
        <v>21</v>
      </c>
      <c r="G21" s="4">
        <f>SQRT(((($C$6+1)/2)*G19^2)/(1+2*G19^2))</f>
        <v>0.15084389790262343</v>
      </c>
      <c r="H21" s="4">
        <f>SQRT(((($C$6+1)/2)*H19^2)/(1+2*H19^2))</f>
        <v>0.16688886897077396</v>
      </c>
      <c r="I21" s="4">
        <f t="shared" ref="I21:Q21" si="12">SQRT(((($C$6+1)/2)*I19^2)/(1+2*I19^2))</f>
        <v>0.18559093677758884</v>
      </c>
      <c r="J21" s="4">
        <f t="shared" si="12"/>
        <v>0.20755484825687853</v>
      </c>
      <c r="K21" s="4">
        <f t="shared" si="12"/>
        <v>0.23356263405743868</v>
      </c>
      <c r="L21" s="4">
        <f t="shared" si="12"/>
        <v>0.26464063984632014</v>
      </c>
      <c r="M21" s="4">
        <f t="shared" si="12"/>
        <v>0.30216609960859864</v>
      </c>
      <c r="N21" s="4">
        <f t="shared" si="12"/>
        <v>0.34806547631671553</v>
      </c>
      <c r="O21" s="4">
        <f t="shared" si="12"/>
        <v>0.40530787038850141</v>
      </c>
      <c r="P21" s="4">
        <f t="shared" si="12"/>
        <v>0.47989411674061294</v>
      </c>
      <c r="Q21" s="4">
        <f t="shared" si="12"/>
        <v>0.64727998043206991</v>
      </c>
    </row>
    <row r="22" spans="5:33" x14ac:dyDescent="0.25">
      <c r="F22" s="4" t="s">
        <v>20</v>
      </c>
      <c r="G22" s="4">
        <f>(1-((($C$6-1)/($C$6+1))*G21^2))^($C$6/($C$6-1))</f>
        <v>0.98678970287453738</v>
      </c>
      <c r="H22" s="4">
        <f t="shared" ref="H22:Q22" si="13">(1-((($C$6-1)/($C$6+1))*H21^2))^($C$6/($C$6-1))</f>
        <v>0.98384711531656099</v>
      </c>
      <c r="I22" s="4">
        <f t="shared" si="13"/>
        <v>0.98005143476356615</v>
      </c>
      <c r="J22" s="4">
        <f t="shared" si="13"/>
        <v>0.97509529708747833</v>
      </c>
      <c r="K22" s="4">
        <f t="shared" si="13"/>
        <v>0.96853829759307086</v>
      </c>
      <c r="L22" s="4">
        <f t="shared" si="13"/>
        <v>0.95973904586417513</v>
      </c>
      <c r="M22" s="4">
        <f t="shared" si="13"/>
        <v>0.94774454880353898</v>
      </c>
      <c r="N22" s="4">
        <f t="shared" si="13"/>
        <v>0.93109514178087782</v>
      </c>
      <c r="O22" s="4">
        <f t="shared" si="13"/>
        <v>0.90740804528408381</v>
      </c>
      <c r="P22" s="4">
        <f t="shared" si="13"/>
        <v>0.87198169428631833</v>
      </c>
      <c r="Q22" s="4">
        <f t="shared" si="13"/>
        <v>0.77619438946709518</v>
      </c>
    </row>
    <row r="23" spans="5:33" x14ac:dyDescent="0.25">
      <c r="E23" s="10"/>
      <c r="F23" s="4" t="s">
        <v>5</v>
      </c>
      <c r="G23" s="4">
        <f>G14/G22</f>
        <v>215000</v>
      </c>
      <c r="H23" s="4">
        <f t="shared" ref="H23:Q23" si="14">H14/H22</f>
        <v>214912.71472261255</v>
      </c>
      <c r="I23" s="4">
        <f t="shared" si="14"/>
        <v>214779.76171112867</v>
      </c>
      <c r="J23" s="4">
        <f t="shared" si="14"/>
        <v>214570.76841701678</v>
      </c>
      <c r="K23" s="4">
        <f t="shared" si="14"/>
        <v>214230.18348449975</v>
      </c>
      <c r="L23" s="4">
        <f t="shared" si="14"/>
        <v>213651.35972101855</v>
      </c>
      <c r="M23" s="4">
        <f t="shared" si="14"/>
        <v>212616.99274336692</v>
      </c>
      <c r="N23" s="4">
        <f t="shared" si="14"/>
        <v>210648.22013408371</v>
      </c>
      <c r="O23" s="4">
        <f t="shared" si="14"/>
        <v>206559.53768460444</v>
      </c>
      <c r="P23" s="4">
        <f t="shared" si="14"/>
        <v>196693.7051295056</v>
      </c>
      <c r="Q23" s="13">
        <f t="shared" si="14"/>
        <v>128833.70629444526</v>
      </c>
      <c r="R23" t="s">
        <v>24</v>
      </c>
    </row>
    <row r="24" spans="5:33" x14ac:dyDescent="0.25">
      <c r="R24" t="s">
        <v>26</v>
      </c>
    </row>
    <row r="27" spans="5:33" x14ac:dyDescent="0.25">
      <c r="J27" s="11"/>
      <c r="K27" s="11"/>
      <c r="L27" s="11"/>
      <c r="M27" s="11"/>
      <c r="N27" s="11"/>
      <c r="O27" s="11"/>
      <c r="P27" s="11"/>
      <c r="Q27" s="11"/>
      <c r="R27" s="11"/>
      <c r="S27" s="11"/>
    </row>
    <row r="28" spans="5:33" x14ac:dyDescent="0.25">
      <c r="J28" s="11"/>
      <c r="K28" s="11"/>
      <c r="L28" s="11"/>
      <c r="M28" s="11"/>
      <c r="N28" s="11"/>
      <c r="O28" s="11"/>
      <c r="P28" s="11"/>
      <c r="Q28" s="11"/>
      <c r="R28" s="11"/>
      <c r="S28" s="11"/>
    </row>
    <row r="29" spans="5:33" x14ac:dyDescent="0.25">
      <c r="J29" s="11"/>
      <c r="K29" s="11"/>
      <c r="L29" s="11"/>
      <c r="M29" s="11"/>
      <c r="N29" s="11"/>
      <c r="O29" s="11"/>
      <c r="P29" s="11"/>
      <c r="Q29" s="11"/>
      <c r="R29" s="11"/>
      <c r="S29" s="11"/>
      <c r="Y29" t="s">
        <v>30</v>
      </c>
    </row>
    <row r="30" spans="5:33" x14ac:dyDescent="0.25">
      <c r="J30" s="11"/>
      <c r="K30" s="11"/>
      <c r="L30" s="12"/>
      <c r="M30" s="12"/>
      <c r="N30" s="12"/>
      <c r="O30" s="12"/>
      <c r="P30" s="12"/>
      <c r="Q30" s="12"/>
      <c r="R30" s="11"/>
      <c r="S30" s="11"/>
      <c r="U30" s="21" t="s">
        <v>27</v>
      </c>
      <c r="V30" s="15" t="s">
        <v>10</v>
      </c>
      <c r="W30" s="22">
        <v>0</v>
      </c>
      <c r="X30" s="22">
        <v>0.01</v>
      </c>
      <c r="Y30" s="22">
        <v>0.02</v>
      </c>
      <c r="Z30" s="22">
        <v>0.03</v>
      </c>
      <c r="AA30" s="22">
        <v>0.04</v>
      </c>
      <c r="AB30" s="22">
        <v>0.05</v>
      </c>
      <c r="AC30" s="22">
        <v>0.06</v>
      </c>
      <c r="AD30" s="22">
        <v>7.0000000000000007E-2</v>
      </c>
      <c r="AE30" s="22">
        <v>0.08</v>
      </c>
      <c r="AF30" s="22">
        <v>0.09</v>
      </c>
      <c r="AG30" s="22">
        <v>0.1</v>
      </c>
    </row>
    <row r="31" spans="5:33" x14ac:dyDescent="0.25">
      <c r="J31" s="11"/>
      <c r="K31" s="11"/>
      <c r="L31" s="12"/>
      <c r="M31" s="12"/>
      <c r="N31" s="12"/>
      <c r="O31" s="12"/>
      <c r="P31" s="12"/>
      <c r="Q31" s="12"/>
      <c r="R31" s="11"/>
      <c r="S31" s="11"/>
      <c r="U31" s="21">
        <v>11</v>
      </c>
      <c r="V31" s="25" t="s">
        <v>28</v>
      </c>
      <c r="W31" s="23">
        <v>1</v>
      </c>
      <c r="X31" s="23">
        <v>0.99958999999999998</v>
      </c>
      <c r="Y31" s="23">
        <v>0.99897000000000002</v>
      </c>
      <c r="Z31" s="23">
        <v>0.998</v>
      </c>
      <c r="AA31" s="23">
        <v>0.99641999999999997</v>
      </c>
      <c r="AB31" s="23">
        <v>0.99373</v>
      </c>
      <c r="AC31" s="23">
        <v>0.98892000000000002</v>
      </c>
      <c r="AD31" s="23">
        <v>0.97975999999999996</v>
      </c>
      <c r="AE31" s="23">
        <v>0.96074000000000004</v>
      </c>
      <c r="AF31" s="23">
        <v>0.91486000000000001</v>
      </c>
      <c r="AG31" s="23">
        <v>0.59923000000000004</v>
      </c>
    </row>
    <row r="32" spans="5:33" x14ac:dyDescent="0.25">
      <c r="J32" s="11"/>
      <c r="K32" s="11"/>
      <c r="L32" s="12"/>
      <c r="M32" s="12"/>
      <c r="N32" s="12"/>
      <c r="O32" s="12"/>
      <c r="P32" s="12"/>
      <c r="Q32" s="12"/>
      <c r="R32" s="11"/>
      <c r="S32" s="11"/>
      <c r="U32" s="21">
        <v>22</v>
      </c>
      <c r="V32" s="23" t="s">
        <v>28</v>
      </c>
      <c r="W32" s="23">
        <f>G23/$C$10</f>
        <v>1</v>
      </c>
      <c r="X32" s="23">
        <v>0.99958999999999998</v>
      </c>
      <c r="Y32" s="23">
        <v>0.99897000000000002</v>
      </c>
      <c r="Z32" s="23">
        <v>0.998</v>
      </c>
      <c r="AA32" s="23">
        <v>0.99643999999999999</v>
      </c>
      <c r="AB32" s="23">
        <v>0.99373</v>
      </c>
      <c r="AC32" s="23">
        <v>0.98890999999999996</v>
      </c>
      <c r="AD32" s="23">
        <v>0.97977000000000003</v>
      </c>
      <c r="AE32" s="23">
        <v>0.96074999999999999</v>
      </c>
      <c r="AF32" s="23">
        <v>0.91486000000000001</v>
      </c>
      <c r="AG32" s="23">
        <v>0.59923000000000004</v>
      </c>
    </row>
    <row r="33" spans="10:33" x14ac:dyDescent="0.25">
      <c r="J33" s="12"/>
      <c r="K33" s="11"/>
      <c r="L33" s="12"/>
      <c r="M33" s="12"/>
      <c r="N33" s="12"/>
      <c r="O33" s="12"/>
      <c r="P33" s="12"/>
      <c r="Q33" s="12"/>
      <c r="R33" s="11"/>
      <c r="S33" s="11"/>
      <c r="U33" s="21">
        <v>44</v>
      </c>
      <c r="V33" s="23" t="s">
        <v>28</v>
      </c>
      <c r="W33" s="23">
        <v>1</v>
      </c>
      <c r="X33" s="23">
        <v>0.99958999999999998</v>
      </c>
      <c r="Y33" s="23">
        <v>0.99897000000000002</v>
      </c>
      <c r="Z33" s="23">
        <v>0.99799000000000004</v>
      </c>
      <c r="AA33" s="23">
        <v>0.99639</v>
      </c>
      <c r="AB33" s="23">
        <v>0.99368000000000001</v>
      </c>
      <c r="AC33" s="23">
        <v>0.98884000000000005</v>
      </c>
      <c r="AD33" s="23">
        <v>0.97962000000000005</v>
      </c>
      <c r="AE33" s="23">
        <v>0.96040999999999999</v>
      </c>
      <c r="AF33" s="23">
        <v>0.91364000000000001</v>
      </c>
      <c r="AG33" s="23">
        <v>0.59923000000000004</v>
      </c>
    </row>
    <row r="34" spans="10:33" x14ac:dyDescent="0.25">
      <c r="J34" s="11"/>
      <c r="K34" s="11"/>
      <c r="L34" s="11"/>
      <c r="M34" s="11"/>
      <c r="N34" s="11"/>
      <c r="O34" s="11"/>
      <c r="P34" s="11"/>
      <c r="Q34" s="11"/>
      <c r="R34" s="11"/>
      <c r="S34" s="11"/>
      <c r="U34" s="21">
        <v>66</v>
      </c>
      <c r="V34" s="23" t="s">
        <v>28</v>
      </c>
      <c r="W34" s="23">
        <v>1</v>
      </c>
      <c r="X34" s="23">
        <v>0.99960000000000004</v>
      </c>
      <c r="Y34" s="23">
        <v>0.99897000000000002</v>
      </c>
      <c r="Z34" s="23">
        <v>0.99799000000000004</v>
      </c>
      <c r="AA34" s="23">
        <v>0.99639999999999995</v>
      </c>
      <c r="AB34" s="23">
        <v>0.99368999999999996</v>
      </c>
      <c r="AC34" s="23">
        <v>0.98884000000000005</v>
      </c>
      <c r="AD34" s="23">
        <v>0.97960999999999998</v>
      </c>
      <c r="AE34" s="23">
        <v>0.96038000000000001</v>
      </c>
      <c r="AF34" s="23">
        <v>0.91337999999999997</v>
      </c>
      <c r="AG34" s="23">
        <v>0.59923000000000004</v>
      </c>
    </row>
    <row r="35" spans="10:33" x14ac:dyDescent="0.25">
      <c r="U35" s="21">
        <v>88</v>
      </c>
      <c r="V35" s="23" t="s">
        <v>28</v>
      </c>
      <c r="W35" s="23">
        <v>1</v>
      </c>
      <c r="X35" s="23">
        <v>0.99960000000000004</v>
      </c>
      <c r="Y35" s="23">
        <v>0.99897000000000002</v>
      </c>
      <c r="Z35" s="23">
        <v>0.99799000000000004</v>
      </c>
      <c r="AA35" s="23">
        <v>0.99639999999999995</v>
      </c>
      <c r="AB35" s="23">
        <v>0.99368999999999996</v>
      </c>
      <c r="AC35" s="23">
        <v>0.98884000000000005</v>
      </c>
      <c r="AD35" s="23">
        <v>0.97960000000000003</v>
      </c>
      <c r="AE35" s="23">
        <v>0.96038999999999997</v>
      </c>
      <c r="AF35" s="23">
        <v>0.91413</v>
      </c>
      <c r="AG35" s="23">
        <v>0.59923000000000004</v>
      </c>
    </row>
    <row r="36" spans="10:33" x14ac:dyDescent="0.25">
      <c r="U36" s="21">
        <v>100</v>
      </c>
      <c r="V36" s="23" t="s">
        <v>28</v>
      </c>
      <c r="W36" s="23">
        <v>1</v>
      </c>
      <c r="X36" s="23">
        <v>0.99960000000000004</v>
      </c>
      <c r="Y36" s="23">
        <v>0.99897000000000002</v>
      </c>
      <c r="Z36" s="23">
        <v>0.99799000000000004</v>
      </c>
      <c r="AA36" s="23">
        <v>0.99639999999999995</v>
      </c>
      <c r="AB36" s="23">
        <v>0.99368000000000001</v>
      </c>
      <c r="AC36" s="23">
        <v>0.98882999999999999</v>
      </c>
      <c r="AD36" s="23">
        <v>0.97960000000000003</v>
      </c>
      <c r="AE36" s="23">
        <v>0.96043000000000001</v>
      </c>
      <c r="AF36" s="23">
        <v>0.91435</v>
      </c>
      <c r="AG36" s="23">
        <v>0.59923000000000004</v>
      </c>
    </row>
    <row r="37" spans="10:33" x14ac:dyDescent="0.25">
      <c r="U37" s="21">
        <v>120</v>
      </c>
      <c r="V37" s="23" t="s">
        <v>28</v>
      </c>
      <c r="W37" s="23">
        <v>1</v>
      </c>
      <c r="X37" s="23">
        <v>0.99958999999999998</v>
      </c>
      <c r="Y37" s="23">
        <v>0.99897000000000002</v>
      </c>
      <c r="Z37" s="23">
        <v>0.99799000000000004</v>
      </c>
      <c r="AA37" s="23">
        <v>0.99639999999999995</v>
      </c>
      <c r="AB37" s="23">
        <v>0.99368000000000001</v>
      </c>
      <c r="AC37" s="23">
        <v>0.98882999999999999</v>
      </c>
      <c r="AD37" s="23">
        <v>0.97960999999999998</v>
      </c>
      <c r="AE37" s="23">
        <v>0.96050000000000002</v>
      </c>
      <c r="AF37" s="23">
        <v>0.91452999999999995</v>
      </c>
      <c r="AG37" s="23">
        <v>0.59923000000000004</v>
      </c>
    </row>
    <row r="38" spans="10:33" x14ac:dyDescent="0.25">
      <c r="T38" t="s">
        <v>29</v>
      </c>
      <c r="V38" s="28" t="s">
        <v>28</v>
      </c>
      <c r="W38" s="23">
        <v>1</v>
      </c>
      <c r="X38" s="23">
        <v>0.99958999999999998</v>
      </c>
      <c r="Y38" s="23">
        <v>0.99897999999999998</v>
      </c>
      <c r="Z38" s="23">
        <v>0.998</v>
      </c>
      <c r="AA38" s="23">
        <v>0.99641999999999997</v>
      </c>
      <c r="AB38" s="23">
        <v>0.99373</v>
      </c>
      <c r="AC38" s="23">
        <v>0.98892000000000002</v>
      </c>
      <c r="AD38" s="23">
        <v>0.97975999999999996</v>
      </c>
      <c r="AE38" s="23">
        <v>0.96074000000000004</v>
      </c>
      <c r="AF38" s="23">
        <v>0.91485000000000005</v>
      </c>
      <c r="AG38" s="23">
        <v>0.59923000000000004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Kuznetsov">
                <anchor moveWithCells="1">
                  <from>
                    <xdr:col>1</xdr:col>
                    <xdr:colOff>152400</xdr:colOff>
                    <xdr:row>21</xdr:row>
                    <xdr:rowOff>104775</xdr:rowOff>
                  </from>
                  <to>
                    <xdr:col>2</xdr:col>
                    <xdr:colOff>123825</xdr:colOff>
                    <xdr:row>22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B1:Q26"/>
  <sheetViews>
    <sheetView workbookViewId="0">
      <selection activeCell="Y27" sqref="Y27"/>
    </sheetView>
  </sheetViews>
  <sheetFormatPr defaultRowHeight="15" x14ac:dyDescent="0.25"/>
  <sheetData>
    <row r="1" spans="2:17" x14ac:dyDescent="0.25">
      <c r="F1" s="4" t="s">
        <v>9</v>
      </c>
      <c r="G1" s="4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</row>
    <row r="2" spans="2:17" x14ac:dyDescent="0.25">
      <c r="F2" s="4" t="s">
        <v>10</v>
      </c>
      <c r="G2" s="5">
        <v>0</v>
      </c>
      <c r="H2" s="5">
        <f>G2+$C$4</f>
        <v>0.01</v>
      </c>
      <c r="I2" s="5">
        <f t="shared" ref="I2:Q2" si="0">H2+$C$4</f>
        <v>0.02</v>
      </c>
      <c r="J2" s="5">
        <f t="shared" si="0"/>
        <v>0.03</v>
      </c>
      <c r="K2" s="5">
        <f t="shared" si="0"/>
        <v>0.04</v>
      </c>
      <c r="L2" s="5">
        <f t="shared" si="0"/>
        <v>0.05</v>
      </c>
      <c r="M2" s="5">
        <f t="shared" si="0"/>
        <v>6.0000000000000005E-2</v>
      </c>
      <c r="N2" s="5">
        <f t="shared" si="0"/>
        <v>7.0000000000000007E-2</v>
      </c>
      <c r="O2" s="5">
        <f t="shared" si="0"/>
        <v>0.08</v>
      </c>
      <c r="P2" s="5">
        <f t="shared" si="0"/>
        <v>0.09</v>
      </c>
      <c r="Q2" s="5">
        <f t="shared" si="0"/>
        <v>9.9999999999999992E-2</v>
      </c>
    </row>
    <row r="3" spans="2:17" x14ac:dyDescent="0.25">
      <c r="B3" s="4" t="s">
        <v>0</v>
      </c>
      <c r="C3" s="4">
        <v>0.1</v>
      </c>
      <c r="F3" s="4" t="s">
        <v>3</v>
      </c>
      <c r="G3" s="1">
        <v>0.08</v>
      </c>
      <c r="H3" s="4">
        <f>G3+($Q$3-$G$3)/10</f>
        <v>7.5999999999999998E-2</v>
      </c>
      <c r="I3" s="4">
        <f t="shared" ref="I3:P3" si="1">H3+($Q$3-$G$3)/10</f>
        <v>7.1999999999999995E-2</v>
      </c>
      <c r="J3" s="4">
        <f t="shared" si="1"/>
        <v>6.7999999999999991E-2</v>
      </c>
      <c r="K3" s="4">
        <f t="shared" si="1"/>
        <v>6.3999999999999987E-2</v>
      </c>
      <c r="L3" s="4">
        <f t="shared" si="1"/>
        <v>5.9999999999999984E-2</v>
      </c>
      <c r="M3" s="4">
        <f t="shared" si="1"/>
        <v>5.599999999999998E-2</v>
      </c>
      <c r="N3" s="4">
        <f t="shared" si="1"/>
        <v>5.1999999999999977E-2</v>
      </c>
      <c r="O3" s="4">
        <f t="shared" si="1"/>
        <v>4.7999999999999973E-2</v>
      </c>
      <c r="P3" s="4">
        <f t="shared" si="1"/>
        <v>4.399999999999997E-2</v>
      </c>
      <c r="Q3" s="1">
        <v>0.04</v>
      </c>
    </row>
    <row r="4" spans="2:17" x14ac:dyDescent="0.25">
      <c r="B4" s="4" t="s">
        <v>1</v>
      </c>
      <c r="C4" s="4">
        <f>C3/10</f>
        <v>0.01</v>
      </c>
      <c r="F4" s="4" t="s">
        <v>11</v>
      </c>
      <c r="G4" s="5">
        <f>(PI()*(2*G3)^2)/4</f>
        <v>2.0106192982974676E-2</v>
      </c>
      <c r="H4" s="5">
        <f t="shared" ref="H4:Q4" si="2">(PI()*(2*H3)^2)/4</f>
        <v>1.8145839167134643E-2</v>
      </c>
      <c r="I4" s="5">
        <f t="shared" si="2"/>
        <v>1.6286016316209486E-2</v>
      </c>
      <c r="J4" s="5">
        <f t="shared" si="2"/>
        <v>1.4526724430199199E-2</v>
      </c>
      <c r="K4" s="5">
        <f t="shared" si="2"/>
        <v>1.2867963509103787E-2</v>
      </c>
      <c r="L4" s="5">
        <f t="shared" si="2"/>
        <v>1.1309733552923249E-2</v>
      </c>
      <c r="M4" s="5">
        <f t="shared" si="2"/>
        <v>9.8520345616575841E-3</v>
      </c>
      <c r="N4" s="5">
        <f t="shared" si="2"/>
        <v>8.4948665353067939E-3</v>
      </c>
      <c r="O4" s="5">
        <f t="shared" si="2"/>
        <v>7.2382294738708754E-3</v>
      </c>
      <c r="P4" s="5">
        <f t="shared" si="2"/>
        <v>6.0821233773498311E-3</v>
      </c>
      <c r="Q4" s="5">
        <f t="shared" si="2"/>
        <v>5.0265482457436689E-3</v>
      </c>
    </row>
    <row r="5" spans="2:17" x14ac:dyDescent="0.25">
      <c r="F5" s="4" t="s">
        <v>12</v>
      </c>
      <c r="G5" s="4">
        <v>18.944273569261043</v>
      </c>
      <c r="H5" s="4">
        <v>20.990934799549731</v>
      </c>
      <c r="I5" s="4">
        <v>23.39117590643561</v>
      </c>
      <c r="J5" s="4">
        <v>26.229099930013785</v>
      </c>
      <c r="K5" s="4">
        <v>29.616995339142132</v>
      </c>
      <c r="L5" s="4">
        <v>33.705605822659749</v>
      </c>
      <c r="M5" s="4">
        <v>38.701206277730499</v>
      </c>
      <c r="N5" s="4">
        <v>44.892282061714432</v>
      </c>
      <c r="O5" s="4">
        <v>52.692499523828559</v>
      </c>
      <c r="P5" s="4">
        <v>62.712330446678678</v>
      </c>
      <c r="Q5" s="4">
        <v>75.883218512377013</v>
      </c>
    </row>
    <row r="6" spans="2:17" x14ac:dyDescent="0.25">
      <c r="B6" s="4" t="s">
        <v>2</v>
      </c>
      <c r="C6" s="4">
        <v>1.4</v>
      </c>
      <c r="F6" s="4" t="s">
        <v>6</v>
      </c>
      <c r="G6" s="4">
        <v>104787.3603406178</v>
      </c>
      <c r="H6" s="4">
        <v>104736.44866412334</v>
      </c>
      <c r="I6" s="4">
        <v>104669.9135550607</v>
      </c>
      <c r="J6" s="4">
        <v>104581.70148547537</v>
      </c>
      <c r="K6" s="4">
        <v>104462.79332359144</v>
      </c>
      <c r="L6" s="4">
        <v>104299.48301972487</v>
      </c>
      <c r="M6" s="4">
        <v>104070.37387641847</v>
      </c>
      <c r="N6" s="4">
        <v>103741.01976956011</v>
      </c>
      <c r="O6" s="4">
        <v>103253.96574011008</v>
      </c>
      <c r="P6" s="4">
        <v>102509.34883194003</v>
      </c>
      <c r="Q6" s="4">
        <v>101325</v>
      </c>
    </row>
    <row r="7" spans="2:17" x14ac:dyDescent="0.25">
      <c r="B7" s="4" t="s">
        <v>3</v>
      </c>
      <c r="C7" s="4">
        <v>286.97199999999998</v>
      </c>
      <c r="F7" s="4" t="s">
        <v>13</v>
      </c>
      <c r="G7" s="4">
        <v>1.1850000000000001</v>
      </c>
      <c r="H7" s="4">
        <v>1.1850000000000001</v>
      </c>
      <c r="I7" s="4">
        <v>1.1850000000000001</v>
      </c>
      <c r="J7" s="4">
        <v>1.1850000000000001</v>
      </c>
      <c r="K7" s="4">
        <v>1.1850000000000001</v>
      </c>
      <c r="L7" s="4">
        <v>1.1850000000000001</v>
      </c>
      <c r="M7" s="4">
        <v>1.1850000000000001</v>
      </c>
      <c r="N7" s="4">
        <v>1.1850000000000001</v>
      </c>
      <c r="O7" s="4">
        <v>1.1850000000000001</v>
      </c>
      <c r="P7" s="4">
        <v>1.1850000000000001</v>
      </c>
      <c r="Q7" s="4">
        <v>1.1850000000000001</v>
      </c>
    </row>
    <row r="8" spans="2:17" x14ac:dyDescent="0.25">
      <c r="B8" s="4" t="s">
        <v>4</v>
      </c>
      <c r="C8" s="4">
        <v>1004.4</v>
      </c>
    </row>
    <row r="10" spans="2:17" x14ac:dyDescent="0.25">
      <c r="B10" s="4" t="s">
        <v>5</v>
      </c>
      <c r="C10" s="4">
        <v>105000</v>
      </c>
      <c r="F10" s="4" t="s">
        <v>14</v>
      </c>
      <c r="G10" s="5">
        <f>G4*G7*G13</f>
        <v>0.45136428030592041</v>
      </c>
      <c r="H10" s="5">
        <f>H4*H7*H13</f>
        <v>0.45136535982202247</v>
      </c>
      <c r="I10" s="5">
        <f t="shared" ref="I10:Q10" si="3">I4*I7*I13</f>
        <v>0.45142601608989436</v>
      </c>
      <c r="J10" s="5">
        <f t="shared" si="3"/>
        <v>0.45151357923153818</v>
      </c>
      <c r="K10" s="5">
        <f t="shared" si="3"/>
        <v>0.45161716988058254</v>
      </c>
      <c r="L10" s="5">
        <f t="shared" si="3"/>
        <v>0.45172477926016347</v>
      </c>
      <c r="M10" s="5">
        <f t="shared" si="3"/>
        <v>0.45182425908052332</v>
      </c>
      <c r="N10" s="5">
        <f t="shared" si="3"/>
        <v>0.45190492154445927</v>
      </c>
      <c r="O10" s="5">
        <f t="shared" si="3"/>
        <v>0.45195973029030462</v>
      </c>
      <c r="P10" s="5">
        <f t="shared" si="3"/>
        <v>0.45198769592315818</v>
      </c>
      <c r="Q10" s="5">
        <f t="shared" si="3"/>
        <v>0.45199537451195493</v>
      </c>
    </row>
    <row r="11" spans="2:17" x14ac:dyDescent="0.25">
      <c r="B11" s="4" t="s">
        <v>7</v>
      </c>
      <c r="C11" s="4">
        <v>288.16000000000003</v>
      </c>
      <c r="F11" s="4" t="s">
        <v>15</v>
      </c>
      <c r="G11" s="6">
        <v>0</v>
      </c>
      <c r="H11" s="6">
        <f>(H13)*(H10-I10)</f>
        <v>-1.2732348092377233E-3</v>
      </c>
      <c r="I11" s="6">
        <f t="shared" ref="I11:P11" si="4">(I13)*(I10-J10)</f>
        <v>-2.0482110433709508E-3</v>
      </c>
      <c r="J11" s="6">
        <f t="shared" si="4"/>
        <v>-2.7170981195736277E-3</v>
      </c>
      <c r="K11" s="6">
        <f t="shared" si="4"/>
        <v>-3.187075863691042E-3</v>
      </c>
      <c r="L11" s="6">
        <f t="shared" si="4"/>
        <v>-3.3530357422154357E-3</v>
      </c>
      <c r="M11" s="6">
        <f t="shared" si="4"/>
        <v>-3.1217401637776807E-3</v>
      </c>
      <c r="N11" s="6">
        <f t="shared" si="4"/>
        <v>-2.4604923851451474E-3</v>
      </c>
      <c r="O11" s="6">
        <f t="shared" si="4"/>
        <v>-1.4735799194372538E-3</v>
      </c>
      <c r="P11" s="6">
        <f t="shared" si="4"/>
        <v>-4.8154230518456062E-4</v>
      </c>
      <c r="Q11" s="2">
        <v>0</v>
      </c>
    </row>
    <row r="12" spans="2:17" x14ac:dyDescent="0.25">
      <c r="B12" s="4" t="s">
        <v>6</v>
      </c>
      <c r="C12" s="4">
        <v>101325</v>
      </c>
    </row>
    <row r="13" spans="2:17" x14ac:dyDescent="0.25">
      <c r="F13" s="4" t="s">
        <v>12</v>
      </c>
      <c r="G13" s="2">
        <f>(H4*H5*H7)/(G4*G7)</f>
        <v>18.944318656593634</v>
      </c>
      <c r="H13" s="7">
        <f t="shared" ref="H13:Q13" si="5">((G6-H6)/H7+G5*H5)^0.5</f>
        <v>20.990985003017538</v>
      </c>
      <c r="I13" s="7">
        <f t="shared" si="5"/>
        <v>23.391246646933169</v>
      </c>
      <c r="J13" s="7">
        <f t="shared" si="5"/>
        <v>26.229183277055121</v>
      </c>
      <c r="K13" s="7">
        <f t="shared" si="5"/>
        <v>29.617082415144949</v>
      </c>
      <c r="L13" s="7">
        <f t="shared" si="5"/>
        <v>33.705687546343334</v>
      </c>
      <c r="M13" s="7">
        <f t="shared" si="5"/>
        <v>38.70127456379624</v>
      </c>
      <c r="N13" s="7">
        <f t="shared" si="5"/>
        <v>44.892331455419011</v>
      </c>
      <c r="O13" s="7">
        <f t="shared" si="5"/>
        <v>52.692528974875373</v>
      </c>
      <c r="P13" s="7">
        <f t="shared" si="5"/>
        <v>62.712344407440831</v>
      </c>
      <c r="Q13" s="7">
        <f t="shared" si="5"/>
        <v>75.883225852584502</v>
      </c>
    </row>
    <row r="14" spans="2:17" x14ac:dyDescent="0.25">
      <c r="B14" s="4" t="s">
        <v>8</v>
      </c>
      <c r="C14" s="4">
        <v>2000</v>
      </c>
      <c r="F14" s="4" t="s">
        <v>6</v>
      </c>
      <c r="G14" s="3">
        <f>C10-(G7*G13^2)/2</f>
        <v>104787.35932845269</v>
      </c>
      <c r="H14" s="4">
        <f>H6+H11</f>
        <v>104736.44739088853</v>
      </c>
      <c r="I14" s="4">
        <f t="shared" ref="I14:Q14" si="6">I6+I11</f>
        <v>104669.91150684966</v>
      </c>
      <c r="J14" s="4">
        <f t="shared" si="6"/>
        <v>104581.69876837725</v>
      </c>
      <c r="K14" s="4">
        <f t="shared" si="6"/>
        <v>104462.79013651557</v>
      </c>
      <c r="L14" s="4">
        <f t="shared" si="6"/>
        <v>104299.47966668912</v>
      </c>
      <c r="M14" s="4">
        <f t="shared" si="6"/>
        <v>104070.3707546783</v>
      </c>
      <c r="N14" s="4">
        <f t="shared" si="6"/>
        <v>103741.01730906773</v>
      </c>
      <c r="O14" s="4">
        <f t="shared" si="6"/>
        <v>103253.96426653017</v>
      </c>
      <c r="P14" s="4">
        <f t="shared" si="6"/>
        <v>102509.34835039773</v>
      </c>
      <c r="Q14" s="2">
        <f t="shared" si="6"/>
        <v>101325</v>
      </c>
    </row>
    <row r="15" spans="2:17" x14ac:dyDescent="0.25">
      <c r="F15" s="4" t="s">
        <v>13</v>
      </c>
      <c r="G15" s="4">
        <v>1.1850000000000001</v>
      </c>
      <c r="H15" s="4">
        <v>1.1850000000000001</v>
      </c>
      <c r="I15" s="4">
        <v>1.1850000000000001</v>
      </c>
      <c r="J15" s="4">
        <v>1.1850000000000001</v>
      </c>
      <c r="K15" s="4">
        <v>1.1850000000000001</v>
      </c>
      <c r="L15" s="4">
        <v>1.1850000000000001</v>
      </c>
      <c r="M15" s="4">
        <v>1.1850000000000001</v>
      </c>
      <c r="N15" s="4">
        <v>1.1850000000000001</v>
      </c>
      <c r="O15" s="4">
        <v>1.1850000000000001</v>
      </c>
      <c r="P15" s="4">
        <v>1.1850000000000001</v>
      </c>
      <c r="Q15" s="4">
        <v>1.1850000000000001</v>
      </c>
    </row>
    <row r="17" spans="6:17" x14ac:dyDescent="0.25">
      <c r="F17" s="4" t="s">
        <v>16</v>
      </c>
      <c r="G17" s="7">
        <f>$C$11-(G13^2)/(2*$C$8)</f>
        <v>287.98134248836993</v>
      </c>
      <c r="H17" s="7">
        <f t="shared" ref="H17:Q17" si="7">$C$11-(H13^2)/(2*$C$8)</f>
        <v>287.94065439496376</v>
      </c>
      <c r="I17" s="7">
        <f t="shared" si="7"/>
        <v>287.88762324786063</v>
      </c>
      <c r="J17" s="7">
        <f t="shared" si="7"/>
        <v>287.81752187605468</v>
      </c>
      <c r="K17" s="7">
        <f t="shared" si="7"/>
        <v>287.72333553823904</v>
      </c>
      <c r="L17" s="7">
        <f t="shared" si="7"/>
        <v>287.59445172592012</v>
      </c>
      <c r="M17" s="7">
        <f t="shared" si="7"/>
        <v>287.41438637352536</v>
      </c>
      <c r="N17" s="7">
        <f t="shared" si="7"/>
        <v>287.15675357252928</v>
      </c>
      <c r="O17" s="7">
        <f t="shared" si="7"/>
        <v>286.77783024205098</v>
      </c>
      <c r="P17" s="7">
        <f t="shared" si="7"/>
        <v>286.20219527027211</v>
      </c>
      <c r="Q17" s="7">
        <f t="shared" si="7"/>
        <v>285.29348070201399</v>
      </c>
    </row>
    <row r="18" spans="6:17" x14ac:dyDescent="0.25">
      <c r="F18" s="4" t="s">
        <v>17</v>
      </c>
      <c r="G18" s="8">
        <f>SQRT($C$6*$C$7*G17)</f>
        <v>340.14646043021156</v>
      </c>
      <c r="H18" s="8">
        <f t="shared" ref="H18:Q18" si="8">SQRT($C$6*$C$7*H17)</f>
        <v>340.12243040153078</v>
      </c>
      <c r="I18" s="8">
        <f t="shared" si="8"/>
        <v>340.091108125689</v>
      </c>
      <c r="J18" s="8">
        <f t="shared" si="8"/>
        <v>340.04969907785716</v>
      </c>
      <c r="K18" s="8">
        <f t="shared" si="8"/>
        <v>339.9940550428953</v>
      </c>
      <c r="L18" s="8">
        <f t="shared" si="8"/>
        <v>339.91789744137782</v>
      </c>
      <c r="M18" s="8">
        <f t="shared" si="8"/>
        <v>339.8114680244571</v>
      </c>
      <c r="N18" s="8">
        <f t="shared" si="8"/>
        <v>339.65913360412111</v>
      </c>
      <c r="O18" s="8">
        <f t="shared" si="8"/>
        <v>339.43495768749364</v>
      </c>
      <c r="P18" s="8">
        <f t="shared" si="8"/>
        <v>339.0941210542299</v>
      </c>
      <c r="Q18" s="8">
        <f t="shared" si="8"/>
        <v>338.55536776371702</v>
      </c>
    </row>
    <row r="19" spans="6:17" x14ac:dyDescent="0.25">
      <c r="F19" s="4" t="s">
        <v>18</v>
      </c>
      <c r="G19" s="6">
        <f>G13/G18</f>
        <v>5.5694592948676215E-2</v>
      </c>
      <c r="H19" s="6">
        <f t="shared" ref="H19:Q19" si="9">H13/H18</f>
        <v>6.1715967918483584E-2</v>
      </c>
      <c r="I19" s="6">
        <f t="shared" si="9"/>
        <v>6.8779353790950515E-2</v>
      </c>
      <c r="J19" s="6">
        <f t="shared" si="9"/>
        <v>7.713338182090182E-2</v>
      </c>
      <c r="K19" s="6">
        <f t="shared" si="9"/>
        <v>8.7110589070177463E-2</v>
      </c>
      <c r="L19" s="6">
        <f t="shared" si="9"/>
        <v>9.9158319700292361E-2</v>
      </c>
      <c r="M19" s="6">
        <f t="shared" si="9"/>
        <v>0.11389043103457241</v>
      </c>
      <c r="N19" s="6">
        <f t="shared" si="9"/>
        <v>0.13216877455661721</v>
      </c>
      <c r="O19" s="6">
        <f t="shared" si="9"/>
        <v>0.15523601144048227</v>
      </c>
      <c r="P19" s="6">
        <f t="shared" si="9"/>
        <v>0.18494081882773636</v>
      </c>
      <c r="Q19" s="6">
        <f t="shared" si="9"/>
        <v>0.22413830373986146</v>
      </c>
    </row>
    <row r="23" spans="6:17" x14ac:dyDescent="0.25">
      <c r="L23" s="12"/>
      <c r="M23" s="12"/>
      <c r="N23" s="12"/>
      <c r="O23" s="12"/>
      <c r="P23" s="12"/>
      <c r="Q23" s="12"/>
    </row>
    <row r="24" spans="6:17" x14ac:dyDescent="0.25">
      <c r="L24" s="12"/>
      <c r="M24" s="12"/>
      <c r="N24" s="12"/>
      <c r="O24" s="12"/>
      <c r="P24" s="12"/>
      <c r="Q24" s="12"/>
    </row>
    <row r="25" spans="6:17" x14ac:dyDescent="0.25">
      <c r="L25" s="12"/>
      <c r="M25" s="12"/>
      <c r="N25" s="12"/>
      <c r="O25" s="12"/>
      <c r="P25" s="12"/>
      <c r="Q25" s="12"/>
    </row>
    <row r="26" spans="6:17" x14ac:dyDescent="0.25">
      <c r="L26" s="12"/>
      <c r="M26" s="12"/>
      <c r="N26" s="12"/>
      <c r="O26" s="12"/>
      <c r="P26" s="12"/>
      <c r="Q26" s="1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Kuznetsov">
                <anchor moveWithCells="1">
                  <from>
                    <xdr:col>1</xdr:col>
                    <xdr:colOff>219075</xdr:colOff>
                    <xdr:row>17</xdr:row>
                    <xdr:rowOff>104775</xdr:rowOff>
                  </from>
                  <to>
                    <xdr:col>2</xdr:col>
                    <xdr:colOff>190500</xdr:colOff>
                    <xdr:row>18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B1:Q33"/>
  <sheetViews>
    <sheetView workbookViewId="0">
      <selection activeCell="D25" sqref="D25"/>
    </sheetView>
  </sheetViews>
  <sheetFormatPr defaultRowHeight="15" x14ac:dyDescent="0.25"/>
  <sheetData>
    <row r="1" spans="2:17" x14ac:dyDescent="0.25">
      <c r="F1" s="4" t="s">
        <v>9</v>
      </c>
      <c r="G1" s="4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</row>
    <row r="2" spans="2:17" x14ac:dyDescent="0.25">
      <c r="F2" s="4" t="s">
        <v>10</v>
      </c>
      <c r="G2" s="5">
        <v>0</v>
      </c>
      <c r="H2" s="5">
        <f>G2+$C$4</f>
        <v>0.01</v>
      </c>
      <c r="I2" s="5">
        <f t="shared" ref="I2:Q2" si="0">H2+$C$4</f>
        <v>0.02</v>
      </c>
      <c r="J2" s="5">
        <f t="shared" si="0"/>
        <v>0.03</v>
      </c>
      <c r="K2" s="5">
        <f t="shared" si="0"/>
        <v>0.04</v>
      </c>
      <c r="L2" s="5">
        <f t="shared" si="0"/>
        <v>0.05</v>
      </c>
      <c r="M2" s="5">
        <f t="shared" si="0"/>
        <v>6.0000000000000005E-2</v>
      </c>
      <c r="N2" s="5">
        <f t="shared" si="0"/>
        <v>7.0000000000000007E-2</v>
      </c>
      <c r="O2" s="5">
        <f t="shared" si="0"/>
        <v>0.08</v>
      </c>
      <c r="P2" s="5">
        <f t="shared" si="0"/>
        <v>0.09</v>
      </c>
      <c r="Q2" s="5">
        <f t="shared" si="0"/>
        <v>9.9999999999999992E-2</v>
      </c>
    </row>
    <row r="3" spans="2:17" x14ac:dyDescent="0.25">
      <c r="B3" s="4" t="s">
        <v>0</v>
      </c>
      <c r="C3" s="4">
        <v>0.1</v>
      </c>
      <c r="F3" s="4" t="s">
        <v>3</v>
      </c>
      <c r="G3" s="1">
        <v>0.08</v>
      </c>
      <c r="H3" s="4">
        <f>G3+($Q$3-$G$3)/10</f>
        <v>7.5999999999999998E-2</v>
      </c>
      <c r="I3" s="4">
        <f t="shared" ref="I3:P3" si="1">H3+($Q$3-$G$3)/10</f>
        <v>7.1999999999999995E-2</v>
      </c>
      <c r="J3" s="4">
        <f t="shared" si="1"/>
        <v>6.7999999999999991E-2</v>
      </c>
      <c r="K3" s="4">
        <f t="shared" si="1"/>
        <v>6.3999999999999987E-2</v>
      </c>
      <c r="L3" s="4">
        <f t="shared" si="1"/>
        <v>5.9999999999999984E-2</v>
      </c>
      <c r="M3" s="4">
        <f t="shared" si="1"/>
        <v>5.599999999999998E-2</v>
      </c>
      <c r="N3" s="4">
        <f t="shared" si="1"/>
        <v>5.1999999999999977E-2</v>
      </c>
      <c r="O3" s="4">
        <f t="shared" si="1"/>
        <v>4.7999999999999973E-2</v>
      </c>
      <c r="P3" s="4">
        <f t="shared" si="1"/>
        <v>4.399999999999997E-2</v>
      </c>
      <c r="Q3" s="1">
        <v>0.04</v>
      </c>
    </row>
    <row r="4" spans="2:17" x14ac:dyDescent="0.25">
      <c r="B4" s="4" t="s">
        <v>1</v>
      </c>
      <c r="C4" s="4">
        <f>C3/10</f>
        <v>0.01</v>
      </c>
      <c r="F4" s="4" t="s">
        <v>11</v>
      </c>
      <c r="G4" s="5">
        <f>(PI()*(2*G3)^2)/4</f>
        <v>2.0106192982974676E-2</v>
      </c>
      <c r="H4" s="5">
        <f t="shared" ref="H4:Q4" si="2">(PI()*(2*H3)^2)/4</f>
        <v>1.8145839167134643E-2</v>
      </c>
      <c r="I4" s="5">
        <f t="shared" si="2"/>
        <v>1.6286016316209486E-2</v>
      </c>
      <c r="J4" s="5">
        <f t="shared" si="2"/>
        <v>1.4526724430199199E-2</v>
      </c>
      <c r="K4" s="5">
        <f t="shared" si="2"/>
        <v>1.2867963509103787E-2</v>
      </c>
      <c r="L4" s="5">
        <f t="shared" si="2"/>
        <v>1.1309733552923249E-2</v>
      </c>
      <c r="M4" s="5">
        <f t="shared" si="2"/>
        <v>9.8520345616575841E-3</v>
      </c>
      <c r="N4" s="5">
        <f t="shared" si="2"/>
        <v>8.4948665353067939E-3</v>
      </c>
      <c r="O4" s="5">
        <f t="shared" si="2"/>
        <v>7.2382294738708754E-3</v>
      </c>
      <c r="P4" s="5">
        <f t="shared" si="2"/>
        <v>6.0821233773498311E-3</v>
      </c>
      <c r="Q4" s="5">
        <f t="shared" si="2"/>
        <v>5.0265482457436689E-3</v>
      </c>
    </row>
    <row r="5" spans="2:17" x14ac:dyDescent="0.25">
      <c r="F5" s="4" t="s">
        <v>12</v>
      </c>
      <c r="G5" s="4">
        <v>17.965677749011054</v>
      </c>
      <c r="H5" s="4">
        <v>19.913413805299584</v>
      </c>
      <c r="I5" s="4">
        <v>22.200045404994878</v>
      </c>
      <c r="J5" s="4">
        <v>24.90816735873263</v>
      </c>
      <c r="K5" s="4">
        <v>28.148271200498691</v>
      </c>
      <c r="L5" s="4">
        <v>32.070248179569305</v>
      </c>
      <c r="M5" s="4">
        <v>36.882190050039029</v>
      </c>
      <c r="N5" s="4">
        <v>42.881135090875794</v>
      </c>
      <c r="O5" s="4">
        <v>50.505904672857866</v>
      </c>
      <c r="P5" s="4">
        <v>60.433923409349447</v>
      </c>
      <c r="Q5" s="4">
        <v>73.774957760448117</v>
      </c>
    </row>
    <row r="6" spans="2:17" x14ac:dyDescent="0.25">
      <c r="B6" s="4" t="s">
        <v>2</v>
      </c>
      <c r="C6" s="4">
        <v>1.4</v>
      </c>
      <c r="F6" s="4" t="s">
        <v>6</v>
      </c>
      <c r="G6" s="4">
        <v>104795.37046284738</v>
      </c>
      <c r="H6" s="4">
        <v>104746.20531791639</v>
      </c>
      <c r="I6" s="4">
        <v>104681.8857714749</v>
      </c>
      <c r="J6" s="4">
        <v>104596.46859521579</v>
      </c>
      <c r="K6" s="4">
        <v>104481.07197642179</v>
      </c>
      <c r="L6" s="4">
        <v>104322.10705669131</v>
      </c>
      <c r="M6" s="4">
        <v>104098.16192725667</v>
      </c>
      <c r="N6" s="4">
        <v>103774.30941407706</v>
      </c>
      <c r="O6" s="4">
        <v>103291.16099902632</v>
      </c>
      <c r="P6" s="4">
        <v>102542.43320918738</v>
      </c>
      <c r="Q6" s="4">
        <v>101325</v>
      </c>
    </row>
    <row r="7" spans="2:17" x14ac:dyDescent="0.25">
      <c r="B7" s="4" t="s">
        <v>3</v>
      </c>
      <c r="C7" s="4">
        <v>286.97199999999998</v>
      </c>
      <c r="F7" s="4" t="s">
        <v>13</v>
      </c>
      <c r="G7" s="4">
        <v>1.2679762066181028</v>
      </c>
      <c r="H7" s="4">
        <v>1.2675429764889037</v>
      </c>
      <c r="I7" s="4">
        <v>1.2669755575208037</v>
      </c>
      <c r="J7" s="4">
        <v>1.266221046615267</v>
      </c>
      <c r="K7" s="4">
        <v>1.2652002232214405</v>
      </c>
      <c r="L7" s="4">
        <v>1.2637915969220439</v>
      </c>
      <c r="M7" s="4">
        <v>1.2618031955055427</v>
      </c>
      <c r="N7" s="4">
        <v>1.2589207925658019</v>
      </c>
      <c r="O7" s="4">
        <v>1.2546077778956615</v>
      </c>
      <c r="P7" s="4">
        <v>1.2478984257538666</v>
      </c>
      <c r="Q7" s="4">
        <v>1.2369330813723052</v>
      </c>
    </row>
    <row r="8" spans="2:17" x14ac:dyDescent="0.25">
      <c r="B8" s="4" t="s">
        <v>4</v>
      </c>
      <c r="C8" s="4">
        <v>1004.4</v>
      </c>
    </row>
    <row r="10" spans="2:17" x14ac:dyDescent="0.25">
      <c r="B10" s="4" t="s">
        <v>5</v>
      </c>
      <c r="C10" s="4">
        <v>105000</v>
      </c>
      <c r="F10" s="4" t="s">
        <v>14</v>
      </c>
      <c r="G10" s="5">
        <f t="shared" ref="G10:Q10" si="3">G4*G7*G13</f>
        <v>0.45802108266294694</v>
      </c>
      <c r="H10" s="5">
        <f t="shared" si="3"/>
        <v>0.45802205274429714</v>
      </c>
      <c r="I10" s="5">
        <f t="shared" si="3"/>
        <v>0.45807673534866261</v>
      </c>
      <c r="J10" s="5">
        <f t="shared" si="3"/>
        <v>0.45816340495744534</v>
      </c>
      <c r="K10" s="5">
        <f t="shared" si="3"/>
        <v>0.45827075232910464</v>
      </c>
      <c r="L10" s="5">
        <f t="shared" si="3"/>
        <v>0.45838593888599438</v>
      </c>
      <c r="M10" s="5">
        <f t="shared" si="3"/>
        <v>0.45849551753028378</v>
      </c>
      <c r="N10" s="5">
        <f t="shared" si="3"/>
        <v>0.45858704157640262</v>
      </c>
      <c r="O10" s="5">
        <f t="shared" si="3"/>
        <v>0.4586514358057997</v>
      </c>
      <c r="P10" s="5">
        <f t="shared" si="3"/>
        <v>0.45868587055653737</v>
      </c>
      <c r="Q10" s="5">
        <f t="shared" si="3"/>
        <v>0.4586961256338285</v>
      </c>
    </row>
    <row r="11" spans="2:17" x14ac:dyDescent="0.25">
      <c r="B11" s="4" t="s">
        <v>7</v>
      </c>
      <c r="C11" s="4">
        <v>288.16000000000003</v>
      </c>
      <c r="F11" s="4" t="s">
        <v>15</v>
      </c>
      <c r="G11" s="6">
        <v>0</v>
      </c>
      <c r="H11" s="6">
        <f>(H13)*(H10-I10)</f>
        <v>-1.0889196349907187E-3</v>
      </c>
      <c r="I11" s="6">
        <f t="shared" ref="I11:P11" si="4">(I13)*(I10-J10)</f>
        <v>-1.9240748799069811E-3</v>
      </c>
      <c r="J11" s="6">
        <f t="shared" si="4"/>
        <v>-2.6738348971043738E-3</v>
      </c>
      <c r="K11" s="6">
        <f t="shared" si="4"/>
        <v>-3.242312397185585E-3</v>
      </c>
      <c r="L11" s="6">
        <f t="shared" si="4"/>
        <v>-3.5142234567933513E-3</v>
      </c>
      <c r="M11" s="6">
        <f t="shared" si="4"/>
        <v>-3.3756138165896474E-3</v>
      </c>
      <c r="N11" s="6">
        <f t="shared" si="4"/>
        <v>-2.7613010784255558E-3</v>
      </c>
      <c r="O11" s="6">
        <f t="shared" si="4"/>
        <v>-1.7391593581165643E-3</v>
      </c>
      <c r="P11" s="6">
        <f t="shared" si="4"/>
        <v>-6.1975471239774076E-4</v>
      </c>
      <c r="Q11" s="2">
        <v>0</v>
      </c>
    </row>
    <row r="12" spans="2:17" x14ac:dyDescent="0.25">
      <c r="B12" s="4" t="s">
        <v>6</v>
      </c>
      <c r="C12" s="4">
        <v>101325</v>
      </c>
    </row>
    <row r="13" spans="2:17" x14ac:dyDescent="0.25">
      <c r="F13" s="4" t="s">
        <v>12</v>
      </c>
      <c r="G13" s="2">
        <f>(H4*H5*H7)/(G4*G7)</f>
        <v>17.96571550535436</v>
      </c>
      <c r="H13" s="7">
        <f t="shared" ref="H13:P13" si="5">((G6-H6)/H7+G5*H5)^0.5</f>
        <v>19.913455981592517</v>
      </c>
      <c r="I13" s="7">
        <f t="shared" si="5"/>
        <v>22.200110360834749</v>
      </c>
      <c r="J13" s="7">
        <f t="shared" si="5"/>
        <v>24.908247456591255</v>
      </c>
      <c r="K13" s="7">
        <f t="shared" si="5"/>
        <v>28.148357627262506</v>
      </c>
      <c r="L13" s="7">
        <f t="shared" si="5"/>
        <v>32.070331583152644</v>
      </c>
      <c r="M13" s="7">
        <f t="shared" si="5"/>
        <v>36.882261654019779</v>
      </c>
      <c r="N13" s="7">
        <f t="shared" si="5"/>
        <v>42.881188334412563</v>
      </c>
      <c r="O13" s="7">
        <f t="shared" si="5"/>
        <v>50.505937196002144</v>
      </c>
      <c r="P13" s="7">
        <f t="shared" si="5"/>
        <v>60.433938702113757</v>
      </c>
      <c r="Q13" s="7">
        <f>((P6-Q6)/Q7+P5*Q5)^0.5</f>
        <v>73.774964942658258</v>
      </c>
    </row>
    <row r="14" spans="2:17" x14ac:dyDescent="0.25">
      <c r="B14" s="4" t="s">
        <v>8</v>
      </c>
      <c r="C14" s="4">
        <v>2000</v>
      </c>
      <c r="F14" s="4" t="s">
        <v>6</v>
      </c>
      <c r="G14" s="3">
        <f>C10-(G7*G13^2)/2</f>
        <v>104795.36960394381</v>
      </c>
      <c r="H14" s="9">
        <f>H6+H11</f>
        <v>104746.20422899675</v>
      </c>
      <c r="I14" s="9">
        <f t="shared" ref="I14:Q14" si="6">I6+I11</f>
        <v>104681.88384740002</v>
      </c>
      <c r="J14" s="9">
        <f t="shared" si="6"/>
        <v>104596.46592138089</v>
      </c>
      <c r="K14" s="9">
        <f t="shared" si="6"/>
        <v>104481.0687341094</v>
      </c>
      <c r="L14" s="9">
        <f t="shared" si="6"/>
        <v>104322.10354246786</v>
      </c>
      <c r="M14" s="9">
        <f t="shared" si="6"/>
        <v>104098.15855164286</v>
      </c>
      <c r="N14" s="9">
        <f t="shared" si="6"/>
        <v>103774.30665277598</v>
      </c>
      <c r="O14" s="9">
        <f t="shared" si="6"/>
        <v>103291.15925986697</v>
      </c>
      <c r="P14" s="9">
        <f t="shared" si="6"/>
        <v>102542.43258943266</v>
      </c>
      <c r="Q14" s="9">
        <f t="shared" si="6"/>
        <v>101325</v>
      </c>
    </row>
    <row r="15" spans="2:17" x14ac:dyDescent="0.25">
      <c r="F15" s="4" t="s">
        <v>13</v>
      </c>
      <c r="G15" s="4">
        <f>G14/($C$7*G17)</f>
        <v>1.2679761991991174</v>
      </c>
      <c r="H15" s="4">
        <f t="shared" ref="H15:Q15" si="7">H14/($C$7*H17)</f>
        <v>1.267542966992526</v>
      </c>
      <c r="I15" s="4">
        <f t="shared" si="7"/>
        <v>1.2669755405513954</v>
      </c>
      <c r="J15" s="4">
        <f t="shared" si="7"/>
        <v>1.2662210229841522</v>
      </c>
      <c r="K15" s="4">
        <f t="shared" si="7"/>
        <v>1.2652001946082072</v>
      </c>
      <c r="L15" s="4">
        <f t="shared" si="7"/>
        <v>1.2637915660498549</v>
      </c>
      <c r="M15" s="4">
        <f t="shared" si="7"/>
        <v>1.2618031661293456</v>
      </c>
      <c r="N15" s="4">
        <f t="shared" si="7"/>
        <v>1.2589207690301487</v>
      </c>
      <c r="O15" s="4">
        <f t="shared" si="7"/>
        <v>1.2546077639231541</v>
      </c>
      <c r="P15" s="4">
        <f t="shared" si="7"/>
        <v>1.2478984222218048</v>
      </c>
      <c r="Q15" s="4">
        <f t="shared" si="7"/>
        <v>1.2369330836583028</v>
      </c>
    </row>
    <row r="17" spans="6:17" x14ac:dyDescent="0.25">
      <c r="F17" s="4" t="s">
        <v>16</v>
      </c>
      <c r="G17" s="7">
        <f>$C$11-(G13^2)/(2*$C$8)</f>
        <v>287.99932350974746</v>
      </c>
      <c r="H17" s="7">
        <f t="shared" ref="H17:Q17" si="8">$C$11-(H13^2)/(2*$C$8)</f>
        <v>287.96259571429175</v>
      </c>
      <c r="I17" s="7">
        <f t="shared" si="8"/>
        <v>287.91465705892415</v>
      </c>
      <c r="J17" s="7">
        <f t="shared" si="8"/>
        <v>287.85114855069759</v>
      </c>
      <c r="K17" s="7">
        <f t="shared" si="8"/>
        <v>287.76557047136987</v>
      </c>
      <c r="L17" s="7">
        <f t="shared" si="8"/>
        <v>287.64799971731713</v>
      </c>
      <c r="M17" s="7">
        <f t="shared" si="8"/>
        <v>287.4828289403049</v>
      </c>
      <c r="N17" s="7">
        <f t="shared" si="8"/>
        <v>287.24462947382949</v>
      </c>
      <c r="O17" s="7">
        <f t="shared" si="8"/>
        <v>286.89016243924408</v>
      </c>
      <c r="P17" s="7">
        <f t="shared" si="8"/>
        <v>286.34186930154777</v>
      </c>
      <c r="Q17" s="7">
        <f t="shared" si="8"/>
        <v>285.45054885887572</v>
      </c>
    </row>
    <row r="18" spans="6:17" x14ac:dyDescent="0.25">
      <c r="F18" s="4" t="s">
        <v>17</v>
      </c>
      <c r="G18" s="8">
        <f>SQRT($C$6*$C$7*G17)</f>
        <v>340.15707932179646</v>
      </c>
      <c r="H18" s="8">
        <f t="shared" ref="H18:Q18" si="9">SQRT($C$6*$C$7*H17)</f>
        <v>340.13538896188152</v>
      </c>
      <c r="I18" s="8">
        <f t="shared" si="9"/>
        <v>340.10707571545612</v>
      </c>
      <c r="J18" s="8">
        <f t="shared" si="9"/>
        <v>340.06956306415765</v>
      </c>
      <c r="K18" s="8">
        <f t="shared" si="9"/>
        <v>340.01900800548481</v>
      </c>
      <c r="L18" s="8">
        <f t="shared" si="9"/>
        <v>339.94954108636341</v>
      </c>
      <c r="M18" s="8">
        <f t="shared" si="9"/>
        <v>339.85192561072836</v>
      </c>
      <c r="N18" s="8">
        <f t="shared" si="9"/>
        <v>339.71110098598382</v>
      </c>
      <c r="O18" s="8">
        <f t="shared" si="9"/>
        <v>339.50143029701752</v>
      </c>
      <c r="P18" s="8">
        <f t="shared" si="9"/>
        <v>339.1768542870891</v>
      </c>
      <c r="Q18" s="8">
        <f t="shared" si="9"/>
        <v>338.64855066865556</v>
      </c>
    </row>
    <row r="19" spans="6:17" x14ac:dyDescent="0.25">
      <c r="F19" s="4" t="s">
        <v>18</v>
      </c>
      <c r="G19" s="6">
        <f>G13/G18</f>
        <v>5.2815938863228475E-2</v>
      </c>
      <c r="H19" s="6">
        <f t="shared" ref="H19:P19" si="10">H13/H18</f>
        <v>5.8545675127689191E-2</v>
      </c>
      <c r="I19" s="6">
        <f t="shared" si="10"/>
        <v>6.5273885625972791E-2</v>
      </c>
      <c r="J19" s="6">
        <f t="shared" si="10"/>
        <v>7.3244565706375955E-2</v>
      </c>
      <c r="K19" s="6">
        <f t="shared" si="10"/>
        <v>8.2784658988265883E-2</v>
      </c>
      <c r="L19" s="6">
        <f t="shared" si="10"/>
        <v>9.4338505298953323E-2</v>
      </c>
      <c r="M19" s="6">
        <f t="shared" si="10"/>
        <v>0.10852450398137596</v>
      </c>
      <c r="N19" s="6">
        <f t="shared" si="10"/>
        <v>0.12622839880696687</v>
      </c>
      <c r="O19" s="6">
        <f t="shared" si="10"/>
        <v>0.14876502037654546</v>
      </c>
      <c r="P19" s="6">
        <f t="shared" si="10"/>
        <v>0.17817825107535409</v>
      </c>
      <c r="Q19" s="6">
        <f>Q13/Q18</f>
        <v>0.21785111673146362</v>
      </c>
    </row>
    <row r="20" spans="6:17" x14ac:dyDescent="0.25">
      <c r="F20" s="4" t="s">
        <v>19</v>
      </c>
      <c r="G20" s="4">
        <f>1-((($C$6-1)/($C$6+1))*G21^2)</f>
        <v>0.9994451906278492</v>
      </c>
      <c r="H20" s="4">
        <f t="shared" ref="H20:Q20" si="11">1-((($C$6-1)/($C$6+1))*H21^2)</f>
        <v>0.99931914815499334</v>
      </c>
      <c r="I20" s="4">
        <f t="shared" si="11"/>
        <v>0.99915506397534504</v>
      </c>
      <c r="J20" s="4">
        <f t="shared" si="11"/>
        <v>0.99893843679612382</v>
      </c>
      <c r="K20" s="4">
        <f t="shared" si="11"/>
        <v>0.99864787310904413</v>
      </c>
      <c r="L20" s="4">
        <f t="shared" si="11"/>
        <v>0.99825117746287018</v>
      </c>
      <c r="M20" s="4">
        <f t="shared" si="11"/>
        <v>0.99769869398315969</v>
      </c>
      <c r="N20" s="4">
        <f t="shared" si="11"/>
        <v>0.99691169398586221</v>
      </c>
      <c r="O20" s="4">
        <f t="shared" si="11"/>
        <v>0.99576140279709935</v>
      </c>
      <c r="P20" s="4">
        <f t="shared" si="11"/>
        <v>0.9940295930298334</v>
      </c>
      <c r="Q20" s="4">
        <f t="shared" si="11"/>
        <v>0.99133102212098823</v>
      </c>
    </row>
    <row r="21" spans="6:17" x14ac:dyDescent="0.25">
      <c r="F21" s="4" t="s">
        <v>21</v>
      </c>
      <c r="G21" s="4">
        <f>SQRT(((($C$6+1)/2)*G19^2)/(1+2*G19^2))</f>
        <v>5.7696241063908013E-2</v>
      </c>
      <c r="H21" s="4">
        <f>SQRT(((($C$6+1)/2)*H19^2)/(1+2*H19^2))</f>
        <v>6.3914873621400858E-2</v>
      </c>
      <c r="I21" s="4">
        <f t="shared" ref="I21:Q21" si="12">SQRT(((($C$6+1)/2)*I19^2)/(1+2*I19^2))</f>
        <v>7.1201236983141639E-2</v>
      </c>
      <c r="J21" s="4">
        <f t="shared" si="12"/>
        <v>7.9808390682038655E-2</v>
      </c>
      <c r="K21" s="4">
        <f t="shared" si="12"/>
        <v>9.007086846331129E-2</v>
      </c>
      <c r="L21" s="4">
        <f t="shared" si="12"/>
        <v>0.10243502927601809</v>
      </c>
      <c r="M21" s="4">
        <f t="shared" si="12"/>
        <v>0.11750674917229943</v>
      </c>
      <c r="N21" s="4">
        <f t="shared" si="12"/>
        <v>0.13612434053036448</v>
      </c>
      <c r="O21" s="4">
        <f t="shared" si="12"/>
        <v>0.15947282908823032</v>
      </c>
      <c r="P21" s="4">
        <f t="shared" si="12"/>
        <v>0.18926817434793303</v>
      </c>
      <c r="Q21" s="4">
        <f t="shared" si="12"/>
        <v>0.22806548900276599</v>
      </c>
    </row>
    <row r="22" spans="6:17" x14ac:dyDescent="0.25">
      <c r="F22" s="4" t="s">
        <v>20</v>
      </c>
      <c r="G22" s="4">
        <f>(1-((($C$6-1)/($C$6+1))*G21^2))^($C$6/($C$6-1))</f>
        <v>0.99805951350771915</v>
      </c>
      <c r="H22" s="4">
        <f t="shared" ref="H22:Q22" si="13">(1-((($C$6-1)/($C$6+1))*H21^2))^($C$6/($C$6-1))</f>
        <v>0.99761904592377981</v>
      </c>
      <c r="I22" s="4">
        <f t="shared" si="13"/>
        <v>0.99704584598069135</v>
      </c>
      <c r="J22" s="4">
        <f t="shared" si="13"/>
        <v>0.99628945642929645</v>
      </c>
      <c r="K22" s="4">
        <f t="shared" si="13"/>
        <v>0.99527554905621063</v>
      </c>
      <c r="L22" s="4">
        <f t="shared" si="13"/>
        <v>0.99389248983628464</v>
      </c>
      <c r="M22" s="4">
        <f t="shared" si="13"/>
        <v>0.99196857232910385</v>
      </c>
      <c r="N22" s="4">
        <f t="shared" si="13"/>
        <v>0.98923259169120825</v>
      </c>
      <c r="O22" s="4">
        <f t="shared" si="13"/>
        <v>0.98524334326618301</v>
      </c>
      <c r="P22" s="4">
        <f t="shared" si="13"/>
        <v>0.97925906060631596</v>
      </c>
      <c r="Q22" s="4">
        <f t="shared" si="13"/>
        <v>0.96998594024949014</v>
      </c>
    </row>
    <row r="23" spans="6:17" x14ac:dyDescent="0.25">
      <c r="F23" s="4" t="s">
        <v>5</v>
      </c>
      <c r="G23" s="4">
        <f>G14/G22</f>
        <v>104999.11897601816</v>
      </c>
      <c r="H23" s="4">
        <f t="shared" ref="H23:Q23" si="14">H14/H22</f>
        <v>104996.19534829889</v>
      </c>
      <c r="I23" s="4">
        <f t="shared" si="14"/>
        <v>104992.04652363325</v>
      </c>
      <c r="J23" s="4">
        <f t="shared" si="14"/>
        <v>104986.02112708775</v>
      </c>
      <c r="K23" s="4">
        <f t="shared" si="14"/>
        <v>104977.02755099892</v>
      </c>
      <c r="L23" s="4">
        <f t="shared" si="14"/>
        <v>104963.16715266854</v>
      </c>
      <c r="M23" s="4">
        <f t="shared" si="14"/>
        <v>104940.9844781921</v>
      </c>
      <c r="N23" s="4">
        <f t="shared" si="14"/>
        <v>104903.84923060585</v>
      </c>
      <c r="O23" s="4">
        <f t="shared" si="14"/>
        <v>104838.22089824647</v>
      </c>
      <c r="P23" s="4">
        <f t="shared" si="14"/>
        <v>104714.30565671019</v>
      </c>
      <c r="Q23" s="4">
        <f t="shared" si="14"/>
        <v>104460.27699529148</v>
      </c>
    </row>
    <row r="30" spans="6:17" x14ac:dyDescent="0.25">
      <c r="L30" s="12"/>
      <c r="M30" s="12"/>
      <c r="N30" s="12"/>
      <c r="O30" s="12"/>
      <c r="P30" s="12"/>
      <c r="Q30" s="12"/>
    </row>
    <row r="31" spans="6:17" x14ac:dyDescent="0.25">
      <c r="L31" s="12"/>
      <c r="M31" s="12"/>
      <c r="N31" s="12"/>
      <c r="O31" s="12"/>
      <c r="P31" s="12"/>
      <c r="Q31" s="12"/>
    </row>
    <row r="32" spans="6:17" x14ac:dyDescent="0.25">
      <c r="L32" s="12"/>
      <c r="M32" s="12"/>
      <c r="N32" s="12"/>
      <c r="O32" s="12"/>
      <c r="P32" s="12"/>
      <c r="Q32" s="12"/>
    </row>
    <row r="33" spans="12:17" x14ac:dyDescent="0.25">
      <c r="L33" s="12"/>
      <c r="M33" s="12"/>
      <c r="N33" s="12"/>
      <c r="O33" s="12"/>
      <c r="P33" s="12"/>
      <c r="Q33" s="1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Kuznetsov">
                <anchor moveWithCells="1">
                  <from>
                    <xdr:col>1</xdr:col>
                    <xdr:colOff>361950</xdr:colOff>
                    <xdr:row>19</xdr:row>
                    <xdr:rowOff>180975</xdr:rowOff>
                  </from>
                  <to>
                    <xdr:col>2</xdr:col>
                    <xdr:colOff>333375</xdr:colOff>
                    <xdr:row>21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ro_const_p_215</vt:lpstr>
      <vt:lpstr>ro_var_p_215</vt:lpstr>
      <vt:lpstr>ro_const_p_105</vt:lpstr>
      <vt:lpstr>ro_var_p_105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Кузнецов Роман</dc:creator>
  <cp:lastModifiedBy>Пользователь Windows</cp:lastModifiedBy>
  <dcterms:created xsi:type="dcterms:W3CDTF">2021-04-16T09:49:58Z</dcterms:created>
  <dcterms:modified xsi:type="dcterms:W3CDTF">2021-05-23T09:32:14Z</dcterms:modified>
</cp:coreProperties>
</file>