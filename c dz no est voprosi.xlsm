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51600" windowHeight="17835"/>
  </bookViews>
  <sheets>
    <sheet name="ro_const_p_215" sheetId="1" r:id="rId1"/>
    <sheet name="ro_var_p_215" sheetId="2" r:id="rId2"/>
    <sheet name="ro_const_p_105" sheetId="3" r:id="rId3"/>
    <sheet name="ro_var_p_105" sheetId="4" r:id="rId4"/>
  </sheets>
  <calcPr calcId="152511"/>
</workbook>
</file>

<file path=xl/calcChain.xml><?xml version="1.0" encoding="utf-8"?>
<calcChain xmlns="http://schemas.openxmlformats.org/spreadsheetml/2006/main">
  <c r="Q13" i="4" l="1"/>
  <c r="Q19" i="4"/>
  <c r="Q14" i="4"/>
  <c r="Q17" i="4"/>
  <c r="Q18" i="4" s="1"/>
  <c r="Q21" i="4" s="1"/>
  <c r="P13" i="4"/>
  <c r="P17" i="4" s="1"/>
  <c r="P18" i="4" s="1"/>
  <c r="O13" i="4"/>
  <c r="O17" i="4" s="1"/>
  <c r="O18" i="4" s="1"/>
  <c r="N13" i="4"/>
  <c r="N17" i="4" s="1"/>
  <c r="N18" i="4" s="1"/>
  <c r="N19" i="4" s="1"/>
  <c r="N21" i="4" s="1"/>
  <c r="M13" i="4"/>
  <c r="M17" i="4" s="1"/>
  <c r="M18" i="4" s="1"/>
  <c r="M19" i="4" s="1"/>
  <c r="M21" i="4" s="1"/>
  <c r="L13" i="4"/>
  <c r="L17" i="4" s="1"/>
  <c r="L18" i="4" s="1"/>
  <c r="K13" i="4"/>
  <c r="K17" i="4" s="1"/>
  <c r="K18" i="4" s="1"/>
  <c r="J13" i="4"/>
  <c r="J17" i="4" s="1"/>
  <c r="J18" i="4" s="1"/>
  <c r="J19" i="4" s="1"/>
  <c r="J21" i="4" s="1"/>
  <c r="I13" i="4"/>
  <c r="I17" i="4" s="1"/>
  <c r="I18" i="4" s="1"/>
  <c r="I19" i="4" s="1"/>
  <c r="I21" i="4" s="1"/>
  <c r="H13" i="4"/>
  <c r="H17" i="4" s="1"/>
  <c r="H18" i="4" s="1"/>
  <c r="Q4" i="4"/>
  <c r="G4" i="4"/>
  <c r="C4" i="4"/>
  <c r="H3" i="4"/>
  <c r="I3" i="4" s="1"/>
  <c r="H2" i="4"/>
  <c r="I2" i="4" s="1"/>
  <c r="J2" i="4" s="1"/>
  <c r="K2" i="4" s="1"/>
  <c r="L2" i="4" s="1"/>
  <c r="M2" i="4" s="1"/>
  <c r="N2" i="4" s="1"/>
  <c r="O2" i="4" s="1"/>
  <c r="P2" i="4" s="1"/>
  <c r="Q2" i="4" s="1"/>
  <c r="Q14" i="3"/>
  <c r="Q13" i="3"/>
  <c r="Q17" i="3" s="1"/>
  <c r="Q18" i="3" s="1"/>
  <c r="P13" i="3"/>
  <c r="P17" i="3" s="1"/>
  <c r="P18" i="3" s="1"/>
  <c r="O13" i="3"/>
  <c r="N13" i="3"/>
  <c r="M13" i="3"/>
  <c r="M17" i="3" s="1"/>
  <c r="M18" i="3" s="1"/>
  <c r="L13" i="3"/>
  <c r="L17" i="3" s="1"/>
  <c r="L18" i="3" s="1"/>
  <c r="K13" i="3"/>
  <c r="J13" i="3"/>
  <c r="I13" i="3"/>
  <c r="I17" i="3" s="1"/>
  <c r="I18" i="3" s="1"/>
  <c r="H13" i="3"/>
  <c r="H17" i="3" s="1"/>
  <c r="H18" i="3" s="1"/>
  <c r="Q4" i="3"/>
  <c r="G4" i="3"/>
  <c r="C4" i="3"/>
  <c r="H2" i="3" s="1"/>
  <c r="I2" i="3" s="1"/>
  <c r="J2" i="3" s="1"/>
  <c r="K2" i="3" s="1"/>
  <c r="L2" i="3" s="1"/>
  <c r="M2" i="3" s="1"/>
  <c r="N2" i="3" s="1"/>
  <c r="O2" i="3" s="1"/>
  <c r="P2" i="3" s="1"/>
  <c r="Q2" i="3" s="1"/>
  <c r="H3" i="3"/>
  <c r="I3" i="3" s="1"/>
  <c r="I4" i="3" s="1"/>
  <c r="Q14" i="2"/>
  <c r="Q13" i="2"/>
  <c r="Q17" i="2" s="1"/>
  <c r="Q18" i="2" s="1"/>
  <c r="P13" i="2"/>
  <c r="O13" i="2"/>
  <c r="O17" i="2" s="1"/>
  <c r="O18" i="2" s="1"/>
  <c r="N13" i="2"/>
  <c r="M13" i="2"/>
  <c r="L13" i="2"/>
  <c r="L17" i="2" s="1"/>
  <c r="L18" i="2" s="1"/>
  <c r="K13" i="2"/>
  <c r="K17" i="2" s="1"/>
  <c r="K18" i="2" s="1"/>
  <c r="J13" i="2"/>
  <c r="J17" i="2" s="1"/>
  <c r="J18" i="2" s="1"/>
  <c r="I13" i="2"/>
  <c r="I17" i="2" s="1"/>
  <c r="I18" i="2" s="1"/>
  <c r="H13" i="2"/>
  <c r="H17" i="2" s="1"/>
  <c r="H18" i="2" s="1"/>
  <c r="Q4" i="2"/>
  <c r="G4" i="2"/>
  <c r="C4" i="2"/>
  <c r="H3" i="2"/>
  <c r="H4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4" i="1"/>
  <c r="M13" i="1"/>
  <c r="M17" i="1" s="1"/>
  <c r="M18" i="1" s="1"/>
  <c r="M19" i="1" s="1"/>
  <c r="L13" i="1"/>
  <c r="K13" i="1"/>
  <c r="J13" i="1"/>
  <c r="J10" i="1" s="1"/>
  <c r="I13" i="1"/>
  <c r="I17" i="1" s="1"/>
  <c r="I18" i="1" s="1"/>
  <c r="I19" i="1" s="1"/>
  <c r="N13" i="1"/>
  <c r="O13" i="1"/>
  <c r="P13" i="1"/>
  <c r="P17" i="1" s="1"/>
  <c r="P18" i="1" s="1"/>
  <c r="P19" i="1" s="1"/>
  <c r="Q13" i="1"/>
  <c r="Q17" i="1" s="1"/>
  <c r="Q18" i="1" s="1"/>
  <c r="Q19" i="1" s="1"/>
  <c r="H13" i="1"/>
  <c r="H4" i="1"/>
  <c r="G13" i="1" s="1"/>
  <c r="G14" i="1" s="1"/>
  <c r="I4" i="1"/>
  <c r="J4" i="1"/>
  <c r="K4" i="1"/>
  <c r="L4" i="1"/>
  <c r="M4" i="1"/>
  <c r="N4" i="1"/>
  <c r="Q4" i="1"/>
  <c r="G4" i="1"/>
  <c r="I3" i="1"/>
  <c r="J3" i="1"/>
  <c r="K3" i="1" s="1"/>
  <c r="L3" i="1" s="1"/>
  <c r="M3" i="1" s="1"/>
  <c r="N3" i="1" s="1"/>
  <c r="O3" i="1" s="1"/>
  <c r="P3" i="1" s="1"/>
  <c r="P4" i="1" s="1"/>
  <c r="H3" i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I4" i="4" l="1"/>
  <c r="J3" i="4"/>
  <c r="K3" i="4" s="1"/>
  <c r="H4" i="3"/>
  <c r="G13" i="3" s="1"/>
  <c r="I3" i="2"/>
  <c r="H4" i="4"/>
  <c r="G13" i="4" s="1"/>
  <c r="O4" i="1"/>
  <c r="O10" i="1" s="1"/>
  <c r="H10" i="1"/>
  <c r="G10" i="1"/>
  <c r="I10" i="4"/>
  <c r="K19" i="4"/>
  <c r="K21" i="4" s="1"/>
  <c r="K20" i="4" s="1"/>
  <c r="Q10" i="4"/>
  <c r="O19" i="4"/>
  <c r="O21" i="4" s="1"/>
  <c r="O20" i="4" s="1"/>
  <c r="I22" i="4"/>
  <c r="I20" i="4"/>
  <c r="Q22" i="4"/>
  <c r="Q23" i="4" s="1"/>
  <c r="Q20" i="4"/>
  <c r="J22" i="4"/>
  <c r="J20" i="4"/>
  <c r="L3" i="4"/>
  <c r="K4" i="4"/>
  <c r="K10" i="4" s="1"/>
  <c r="Q15" i="4"/>
  <c r="G14" i="4"/>
  <c r="G17" i="4"/>
  <c r="G18" i="4" s="1"/>
  <c r="G19" i="4" s="1"/>
  <c r="G21" i="4" s="1"/>
  <c r="N22" i="4"/>
  <c r="N20" i="4"/>
  <c r="M22" i="4"/>
  <c r="M20" i="4"/>
  <c r="G10" i="4"/>
  <c r="H10" i="4"/>
  <c r="H11" i="4" s="1"/>
  <c r="H14" i="4" s="1"/>
  <c r="J4" i="4"/>
  <c r="J10" i="4" s="1"/>
  <c r="H19" i="4"/>
  <c r="H21" i="4" s="1"/>
  <c r="L19" i="4"/>
  <c r="L21" i="4" s="1"/>
  <c r="P19" i="4"/>
  <c r="P21" i="4" s="1"/>
  <c r="I10" i="3"/>
  <c r="Q10" i="3"/>
  <c r="O17" i="3"/>
  <c r="O18" i="3" s="1"/>
  <c r="O19" i="3" s="1"/>
  <c r="K17" i="3"/>
  <c r="K18" i="3" s="1"/>
  <c r="K19" i="3" s="1"/>
  <c r="G14" i="3"/>
  <c r="G10" i="3"/>
  <c r="G17" i="3"/>
  <c r="G18" i="3" s="1"/>
  <c r="G19" i="3" s="1"/>
  <c r="I19" i="3"/>
  <c r="M19" i="3"/>
  <c r="Q19" i="3"/>
  <c r="J3" i="3"/>
  <c r="H10" i="3"/>
  <c r="J17" i="3"/>
  <c r="J18" i="3" s="1"/>
  <c r="J19" i="3" s="1"/>
  <c r="N17" i="3"/>
  <c r="N18" i="3" s="1"/>
  <c r="N19" i="3" s="1"/>
  <c r="H19" i="3"/>
  <c r="L19" i="3"/>
  <c r="P19" i="3"/>
  <c r="Q15" i="2"/>
  <c r="Q10" i="2"/>
  <c r="J19" i="2"/>
  <c r="J21" i="2" s="1"/>
  <c r="N17" i="2"/>
  <c r="I19" i="2"/>
  <c r="I21" i="2" s="1"/>
  <c r="Q19" i="2"/>
  <c r="Q21" i="2" s="1"/>
  <c r="M17" i="2"/>
  <c r="G13" i="2"/>
  <c r="H10" i="2"/>
  <c r="H19" i="2"/>
  <c r="H21" i="2" s="1"/>
  <c r="L19" i="2"/>
  <c r="L21" i="2" s="1"/>
  <c r="K19" i="2"/>
  <c r="K21" i="2" s="1"/>
  <c r="O19" i="2"/>
  <c r="O21" i="2" s="1"/>
  <c r="P17" i="2"/>
  <c r="J17" i="1"/>
  <c r="J18" i="1" s="1"/>
  <c r="J19" i="1" s="1"/>
  <c r="P10" i="1"/>
  <c r="Q10" i="1"/>
  <c r="G17" i="1"/>
  <c r="G18" i="1" s="1"/>
  <c r="G19" i="1" s="1"/>
  <c r="I10" i="1"/>
  <c r="I11" i="1" s="1"/>
  <c r="I14" i="1" s="1"/>
  <c r="M10" i="1"/>
  <c r="L10" i="1"/>
  <c r="N17" i="1"/>
  <c r="N18" i="1" s="1"/>
  <c r="N19" i="1" s="1"/>
  <c r="N10" i="1"/>
  <c r="L17" i="1"/>
  <c r="L18" i="1" s="1"/>
  <c r="L19" i="1" s="1"/>
  <c r="O17" i="1"/>
  <c r="O18" i="1" s="1"/>
  <c r="O19" i="1" s="1"/>
  <c r="K17" i="1"/>
  <c r="K18" i="1" s="1"/>
  <c r="K19" i="1" s="1"/>
  <c r="H17" i="1"/>
  <c r="H18" i="1" s="1"/>
  <c r="H19" i="1" s="1"/>
  <c r="K10" i="1"/>
  <c r="J11" i="1" s="1"/>
  <c r="J14" i="1" s="1"/>
  <c r="I4" i="2" l="1"/>
  <c r="I10" i="2" s="1"/>
  <c r="H11" i="2" s="1"/>
  <c r="H14" i="2" s="1"/>
  <c r="H15" i="2" s="1"/>
  <c r="J3" i="2"/>
  <c r="H11" i="1"/>
  <c r="H14" i="1" s="1"/>
  <c r="K22" i="4"/>
  <c r="O22" i="4"/>
  <c r="J11" i="4"/>
  <c r="J14" i="4" s="1"/>
  <c r="J15" i="4" s="1"/>
  <c r="H15" i="4"/>
  <c r="G20" i="4"/>
  <c r="G22" i="4"/>
  <c r="G23" i="4" s="1"/>
  <c r="H20" i="4"/>
  <c r="H22" i="4"/>
  <c r="H23" i="4" s="1"/>
  <c r="G15" i="4"/>
  <c r="L4" i="4"/>
  <c r="L10" i="4" s="1"/>
  <c r="K11" i="4" s="1"/>
  <c r="K14" i="4" s="1"/>
  <c r="M3" i="4"/>
  <c r="L20" i="4"/>
  <c r="L22" i="4"/>
  <c r="P20" i="4"/>
  <c r="P22" i="4"/>
  <c r="I11" i="4"/>
  <c r="I14" i="4" s="1"/>
  <c r="H11" i="3"/>
  <c r="H14" i="3" s="1"/>
  <c r="K3" i="3"/>
  <c r="J4" i="3"/>
  <c r="J10" i="3" s="1"/>
  <c r="G10" i="2"/>
  <c r="N18" i="2"/>
  <c r="N19" i="2" s="1"/>
  <c r="N21" i="2" s="1"/>
  <c r="N22" i="2" s="1"/>
  <c r="M18" i="2"/>
  <c r="M19" i="2" s="1"/>
  <c r="M21" i="2" s="1"/>
  <c r="M20" i="2" s="1"/>
  <c r="P18" i="2"/>
  <c r="P19" i="2" s="1"/>
  <c r="P21" i="2" s="1"/>
  <c r="P22" i="2" s="1"/>
  <c r="L22" i="2"/>
  <c r="L20" i="2"/>
  <c r="J20" i="2"/>
  <c r="J22" i="2"/>
  <c r="K22" i="2"/>
  <c r="K20" i="2"/>
  <c r="O22" i="2"/>
  <c r="O20" i="2"/>
  <c r="I20" i="2"/>
  <c r="I22" i="2"/>
  <c r="Q20" i="2"/>
  <c r="Q22" i="2"/>
  <c r="Q23" i="2" s="1"/>
  <c r="H22" i="2"/>
  <c r="H20" i="2"/>
  <c r="G17" i="2"/>
  <c r="O11" i="1"/>
  <c r="O14" i="1" s="1"/>
  <c r="P11" i="1"/>
  <c r="P14" i="1" s="1"/>
  <c r="L11" i="1"/>
  <c r="L14" i="1" s="1"/>
  <c r="M11" i="1"/>
  <c r="M14" i="1" s="1"/>
  <c r="N11" i="1"/>
  <c r="N14" i="1" s="1"/>
  <c r="K11" i="1"/>
  <c r="K14" i="1" s="1"/>
  <c r="K3" i="2" l="1"/>
  <c r="J4" i="2"/>
  <c r="J10" i="2" s="1"/>
  <c r="J23" i="4"/>
  <c r="K15" i="4"/>
  <c r="K23" i="4"/>
  <c r="I15" i="4"/>
  <c r="I23" i="4"/>
  <c r="M4" i="4"/>
  <c r="M10" i="4" s="1"/>
  <c r="N3" i="4"/>
  <c r="I11" i="3"/>
  <c r="I14" i="3" s="1"/>
  <c r="L3" i="3"/>
  <c r="K4" i="3"/>
  <c r="K10" i="3" s="1"/>
  <c r="H23" i="2"/>
  <c r="M22" i="2"/>
  <c r="P20" i="2"/>
  <c r="N20" i="2"/>
  <c r="G18" i="2"/>
  <c r="G19" i="2" s="1"/>
  <c r="G21" i="2" s="1"/>
  <c r="G20" i="2" s="1"/>
  <c r="I11" i="2" l="1"/>
  <c r="I14" i="2" s="1"/>
  <c r="L3" i="2"/>
  <c r="K4" i="2"/>
  <c r="K10" i="2" s="1"/>
  <c r="O3" i="4"/>
  <c r="N4" i="4"/>
  <c r="N10" i="4" s="1"/>
  <c r="L11" i="4"/>
  <c r="L14" i="4" s="1"/>
  <c r="L4" i="3"/>
  <c r="L10" i="3" s="1"/>
  <c r="K11" i="3" s="1"/>
  <c r="K14" i="3" s="1"/>
  <c r="M3" i="3"/>
  <c r="J11" i="3"/>
  <c r="J14" i="3" s="1"/>
  <c r="G22" i="2"/>
  <c r="G14" i="2" s="1"/>
  <c r="G15" i="2" s="1"/>
  <c r="M3" i="2" l="1"/>
  <c r="L4" i="2"/>
  <c r="L10" i="2" s="1"/>
  <c r="J11" i="2"/>
  <c r="J14" i="2" s="1"/>
  <c r="I15" i="2"/>
  <c r="I23" i="2"/>
  <c r="L15" i="4"/>
  <c r="L23" i="4"/>
  <c r="P3" i="4"/>
  <c r="P4" i="4" s="1"/>
  <c r="P10" i="4" s="1"/>
  <c r="P11" i="4" s="1"/>
  <c r="P14" i="4" s="1"/>
  <c r="O4" i="4"/>
  <c r="O10" i="4" s="1"/>
  <c r="M11" i="4"/>
  <c r="M14" i="4" s="1"/>
  <c r="M4" i="3"/>
  <c r="M10" i="3" s="1"/>
  <c r="L11" i="3" s="1"/>
  <c r="L14" i="3" s="1"/>
  <c r="N3" i="3"/>
  <c r="J15" i="2" l="1"/>
  <c r="J23" i="2"/>
  <c r="N3" i="2"/>
  <c r="M4" i="2"/>
  <c r="M10" i="2" s="1"/>
  <c r="K11" i="2"/>
  <c r="K14" i="2" s="1"/>
  <c r="M15" i="4"/>
  <c r="M23" i="4"/>
  <c r="P15" i="4"/>
  <c r="P23" i="4"/>
  <c r="O11" i="4"/>
  <c r="O14" i="4" s="1"/>
  <c r="N11" i="4"/>
  <c r="N14" i="4" s="1"/>
  <c r="N4" i="3"/>
  <c r="N10" i="3" s="1"/>
  <c r="M11" i="3" s="1"/>
  <c r="M14" i="3" s="1"/>
  <c r="O3" i="3"/>
  <c r="K15" i="2" l="1"/>
  <c r="K23" i="2"/>
  <c r="O3" i="2"/>
  <c r="N4" i="2"/>
  <c r="N10" i="2" s="1"/>
  <c r="L11" i="2"/>
  <c r="L14" i="2" s="1"/>
  <c r="N23" i="4"/>
  <c r="N15" i="4"/>
  <c r="O15" i="4"/>
  <c r="O23" i="4"/>
  <c r="P3" i="3"/>
  <c r="P4" i="3" s="1"/>
  <c r="P10" i="3" s="1"/>
  <c r="P11" i="3" s="1"/>
  <c r="P14" i="3" s="1"/>
  <c r="O4" i="3"/>
  <c r="O10" i="3" s="1"/>
  <c r="L15" i="2" l="1"/>
  <c r="L23" i="2"/>
  <c r="O4" i="2"/>
  <c r="O10" i="2" s="1"/>
  <c r="P3" i="2"/>
  <c r="P4" i="2" s="1"/>
  <c r="P10" i="2" s="1"/>
  <c r="P11" i="2" s="1"/>
  <c r="P14" i="2" s="1"/>
  <c r="M11" i="2"/>
  <c r="M14" i="2" s="1"/>
  <c r="O11" i="3"/>
  <c r="O14" i="3" s="1"/>
  <c r="N11" i="3"/>
  <c r="N14" i="3" s="1"/>
  <c r="O11" i="2" l="1"/>
  <c r="O14" i="2" s="1"/>
  <c r="O15" i="2" s="1"/>
  <c r="M15" i="2"/>
  <c r="M23" i="2"/>
  <c r="P15" i="2"/>
  <c r="P23" i="2"/>
  <c r="N11" i="2"/>
  <c r="N14" i="2" s="1"/>
  <c r="O23" i="2" l="1"/>
  <c r="N15" i="2"/>
  <c r="N23" i="2"/>
  <c r="G23" i="2" l="1"/>
</calcChain>
</file>

<file path=xl/sharedStrings.xml><?xml version="1.0" encoding="utf-8"?>
<sst xmlns="http://schemas.openxmlformats.org/spreadsheetml/2006/main" count="105" uniqueCount="25">
  <si>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</si>
  <si>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</si>
  <si>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</si>
  <si>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</si>
  <si>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</si>
  <si>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</si>
  <si>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</si>
  <si>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</si>
  <si>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</si>
  <si>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</si>
  <si>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</si>
  <si>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</si>
  <si>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</si>
  <si>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</si>
  <si>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</si>
  <si>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</si>
  <si>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</si>
  <si>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</si>
  <si>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</si>
  <si>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Tau_lam</t>
  </si>
  <si>
    <t>Pi_lamda</t>
  </si>
  <si>
    <t>lamda</t>
  </si>
  <si>
    <t>с</t>
  </si>
  <si>
    <t>а</t>
  </si>
  <si>
    <t>потери слишком большие?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</si>
</sst>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1" fontId="0" fillId="3" borderId="1" xfId="0" applyNumberFormat="1" applyFill="1" applyBorder="1"/>
    <xf numFmtId="0" fontId="0" fillId="4" borderId="1" xfId="0" applyFill="1" applyBorder="1"/>
    <xf numFmtId="165" fontId="0" fillId="4" borderId="1" xfId="0" applyNumberFormat="1" applyFill="1" applyBorder="1"/>
    <xf numFmtId="166" fontId="0" fillId="4" borderId="1" xfId="0" applyNumberFormat="1" applyFill="1" applyBorder="1"/>
    <xf numFmtId="2" fontId="0" fillId="4" borderId="1" xfId="0" applyNumberFormat="1" applyFill="1" applyBorder="1"/>
    <xf numFmtId="164" fontId="0" fillId="4" borderId="1" xfId="0" applyNumberFormat="1" applyFill="1" applyBorder="1"/>
    <xf numFmtId="1" fontId="0" fillId="4" borderId="1" xfId="0" applyNumberFormat="1" applyFill="1" applyBorder="1"/>
    <xf numFmtId="0" fontId="0" fillId="5" borderId="0" xfId="0" applyFill="1"/>
    <xf numFmtId="0" fontId="0" fillId="0" borderId="0" xfId="0" applyBorder="1"/>
    <xf numFmtId="0" fontId="0" fillId="4" borderId="0" xfId="0" applyFill="1" applyBorder="1"/>
    <xf numFmtId="0" fontId="0" fillId="6" borderId="1" xfId="0" applyFill="1" applyBorder="1"/>
    <xf numFmtId="2" fontId="0" fillId="7" borderId="1" xfId="0" applyNumberForma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17496"/>
        <c:axId val="373319456"/>
      </c:lineChart>
      <c:catAx>
        <c:axId val="373317496"/>
        <c:scaling>
          <c:orientation val="minMax"/>
        </c:scaling>
        <c:delete val="0"/>
        <c:axPos val="b"/>
        <c:majorTickMark val="out"/>
        <c:minorTickMark val="none"/>
        <c:tickLblPos val="nextTo"/>
        <c:crossAx val="373319456"/>
        <c:crosses val="autoZero"/>
        <c:auto val="1"/>
        <c:lblAlgn val="ctr"/>
        <c:lblOffset val="100"/>
        <c:noMultiLvlLbl val="0"/>
      </c:catAx>
      <c:valAx>
        <c:axId val="373319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31749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"/>
          <c:y val="7.4548702245552628E-2"/>
          <c:w val="0.70526137357830299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ro_const_p_215!$G$10:$Q$10</c:f>
              <c:numCache>
                <c:formatCode>0.000</c:formatCode>
                <c:ptCount val="11"/>
                <c:pt idx="0">
                  <c:v>2.5257030085821359</c:v>
                </c:pt>
                <c:pt idx="1">
                  <c:v>2.5257087023020772</c:v>
                </c:pt>
                <c:pt idx="2">
                  <c:v>2.5260271803797933</c:v>
                </c:pt>
                <c:pt idx="3">
                  <c:v>2.526440079259737</c:v>
                </c:pt>
                <c:pt idx="4">
                  <c:v>2.526902727544786</c:v>
                </c:pt>
                <c:pt idx="5">
                  <c:v>2.5273667817908154</c:v>
                </c:pt>
                <c:pt idx="6">
                  <c:v>2.5277844762585291</c:v>
                </c:pt>
                <c:pt idx="7">
                  <c:v>2.5281152381201712</c:v>
                </c:pt>
                <c:pt idx="8">
                  <c:v>2.5283344495471383</c:v>
                </c:pt>
                <c:pt idx="9">
                  <c:v>2.528442603904173</c:v>
                </c:pt>
                <c:pt idx="10">
                  <c:v>2.5284702340956646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15536"/>
        <c:axId val="373320632"/>
      </c:lineChart>
      <c:catAx>
        <c:axId val="373315536"/>
        <c:scaling>
          <c:orientation val="minMax"/>
        </c:scaling>
        <c:delete val="0"/>
        <c:axPos val="b"/>
        <c:majorTickMark val="out"/>
        <c:minorTickMark val="none"/>
        <c:tickLblPos val="nextTo"/>
        <c:crossAx val="373320632"/>
        <c:crosses val="autoZero"/>
        <c:auto val="1"/>
        <c:lblAlgn val="ctr"/>
        <c:lblOffset val="100"/>
        <c:noMultiLvlLbl val="0"/>
      </c:catAx>
      <c:valAx>
        <c:axId val="37332063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331553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89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ro_const_p_215!$G$14:$Q$14</c:f>
              <c:numCache>
                <c:formatCode>General</c:formatCode>
                <c:ptCount val="11"/>
                <c:pt idx="0" formatCode="0">
                  <c:v>208341.80479333457</c:v>
                </c:pt>
                <c:pt idx="1">
                  <c:v>206747.65961926317</c:v>
                </c:pt>
                <c:pt idx="2">
                  <c:v>204664.49537917582</c:v>
                </c:pt>
                <c:pt idx="3">
                  <c:v>201903.32267868967</c:v>
                </c:pt>
                <c:pt idx="4">
                  <c:v>198182.07155335194</c:v>
                </c:pt>
                <c:pt idx="5">
                  <c:v>193072.0024131682</c:v>
                </c:pt>
                <c:pt idx="6">
                  <c:v>185903.65619950258</c:v>
                </c:pt>
                <c:pt idx="7">
                  <c:v>175599.07007084327</c:v>
                </c:pt>
                <c:pt idx="8">
                  <c:v>160359.99787833661</c:v>
                </c:pt>
                <c:pt idx="9">
                  <c:v>137060.77903633495</c:v>
                </c:pt>
                <c:pt idx="10">
                  <c:v>100000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13968"/>
        <c:axId val="373313184"/>
      </c:lineChart>
      <c:catAx>
        <c:axId val="373313968"/>
        <c:scaling>
          <c:orientation val="minMax"/>
        </c:scaling>
        <c:delete val="0"/>
        <c:axPos val="b"/>
        <c:majorTickMark val="out"/>
        <c:minorTickMark val="none"/>
        <c:tickLblPos val="nextTo"/>
        <c:crossAx val="373313184"/>
        <c:crosses val="autoZero"/>
        <c:auto val="1"/>
        <c:lblAlgn val="ctr"/>
        <c:lblOffset val="100"/>
        <c:noMultiLvlLbl val="0"/>
      </c:catAx>
      <c:valAx>
        <c:axId val="3733131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331396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ro_const_p_215!$G$13:$Q$13</c:f>
              <c:numCache>
                <c:formatCode>0.00</c:formatCode>
                <c:ptCount val="11"/>
                <c:pt idx="0" formatCode="General">
                  <c:v>106.00688781590684</c:v>
                </c:pt>
                <c:pt idx="1">
                  <c:v>117.45942026414905</c:v>
                </c:pt>
                <c:pt idx="2">
                  <c:v>130.88949840532598</c:v>
                </c:pt>
                <c:pt idx="3">
                  <c:v>146.76515375281676</c:v>
                </c:pt>
                <c:pt idx="4">
                  <c:v>165.71443985740774</c:v>
                </c:pt>
                <c:pt idx="5">
                  <c:v>188.58083278399627</c:v>
                </c:pt>
                <c:pt idx="6">
                  <c:v>216.51887672624588</c:v>
                </c:pt>
                <c:pt idx="7">
                  <c:v>251.14350788503336</c:v>
                </c:pt>
                <c:pt idx="8">
                  <c:v>294.77036849138079</c:v>
                </c:pt>
                <c:pt idx="9">
                  <c:v>350.81610588232104</c:v>
                </c:pt>
                <c:pt idx="10">
                  <c:v>424.49212681123078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13576"/>
        <c:axId val="373316712"/>
      </c:lineChart>
      <c:catAx>
        <c:axId val="373313576"/>
        <c:scaling>
          <c:orientation val="minMax"/>
        </c:scaling>
        <c:delete val="0"/>
        <c:axPos val="b"/>
        <c:majorTickMark val="out"/>
        <c:minorTickMark val="none"/>
        <c:tickLblPos val="nextTo"/>
        <c:crossAx val="373316712"/>
        <c:crosses val="autoZero"/>
        <c:auto val="1"/>
        <c:lblAlgn val="ctr"/>
        <c:lblOffset val="100"/>
        <c:noMultiLvlLbl val="0"/>
      </c:catAx>
      <c:valAx>
        <c:axId val="373316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31357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16320"/>
        <c:axId val="373314752"/>
      </c:lineChart>
      <c:catAx>
        <c:axId val="373316320"/>
        <c:scaling>
          <c:orientation val="minMax"/>
        </c:scaling>
        <c:delete val="0"/>
        <c:axPos val="b"/>
        <c:majorTickMark val="out"/>
        <c:minorTickMark val="none"/>
        <c:tickLblPos val="nextTo"/>
        <c:crossAx val="373314752"/>
        <c:crosses val="autoZero"/>
        <c:auto val="1"/>
        <c:lblAlgn val="ctr"/>
        <c:lblOffset val="100"/>
        <c:noMultiLvlLbl val="0"/>
      </c:catAx>
      <c:valAx>
        <c:axId val="37331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316320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ro_var_p_215!$G$10:$Q$10</c:f>
              <c:numCache>
                <c:formatCode>0.000</c:formatCode>
                <c:ptCount val="11"/>
                <c:pt idx="0">
                  <c:v>2.4690331775749361</c:v>
                </c:pt>
                <c:pt idx="1">
                  <c:v>2.4690324245275095</c:v>
                </c:pt>
                <c:pt idx="2">
                  <c:v>2.4689931458945829</c:v>
                </c:pt>
                <c:pt idx="3">
                  <c:v>2.4689603768889765</c:v>
                </c:pt>
                <c:pt idx="4">
                  <c:v>2.4689347759846232</c:v>
                </c:pt>
                <c:pt idx="5">
                  <c:v>2.4689168190376001</c:v>
                </c:pt>
                <c:pt idx="6">
                  <c:v>2.4689066443522911</c:v>
                </c:pt>
                <c:pt idx="7">
                  <c:v>2.4689038446387763</c:v>
                </c:pt>
                <c:pt idx="8">
                  <c:v>2.4689072148450353</c:v>
                </c:pt>
                <c:pt idx="9">
                  <c:v>2.4689144950224375</c:v>
                </c:pt>
                <c:pt idx="10">
                  <c:v>2.4689221734180014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18280"/>
        <c:axId val="373318672"/>
      </c:lineChart>
      <c:catAx>
        <c:axId val="373318280"/>
        <c:scaling>
          <c:orientation val="minMax"/>
        </c:scaling>
        <c:delete val="0"/>
        <c:axPos val="b"/>
        <c:majorTickMark val="out"/>
        <c:minorTickMark val="none"/>
        <c:tickLblPos val="nextTo"/>
        <c:crossAx val="373318672"/>
        <c:crosses val="autoZero"/>
        <c:auto val="1"/>
        <c:lblAlgn val="ctr"/>
        <c:lblOffset val="100"/>
        <c:noMultiLvlLbl val="0"/>
      </c:catAx>
      <c:valAx>
        <c:axId val="37331867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3318280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ro_const_p_215!$G$14:$Q$14</c:f>
              <c:numCache>
                <c:formatCode>General</c:formatCode>
                <c:ptCount val="11"/>
                <c:pt idx="0" formatCode="0">
                  <c:v>208341.80479333457</c:v>
                </c:pt>
                <c:pt idx="1">
                  <c:v>206747.65961926317</c:v>
                </c:pt>
                <c:pt idx="2">
                  <c:v>204664.49537917582</c:v>
                </c:pt>
                <c:pt idx="3">
                  <c:v>201903.32267868967</c:v>
                </c:pt>
                <c:pt idx="4">
                  <c:v>198182.07155335194</c:v>
                </c:pt>
                <c:pt idx="5">
                  <c:v>193072.0024131682</c:v>
                </c:pt>
                <c:pt idx="6">
                  <c:v>185903.65619950258</c:v>
                </c:pt>
                <c:pt idx="7">
                  <c:v>175599.07007084327</c:v>
                </c:pt>
                <c:pt idx="8">
                  <c:v>160359.99787833661</c:v>
                </c:pt>
                <c:pt idx="9">
                  <c:v>137060.77903633495</c:v>
                </c:pt>
                <c:pt idx="10">
                  <c:v>100000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04256"/>
        <c:axId val="374906608"/>
      </c:lineChart>
      <c:catAx>
        <c:axId val="374904256"/>
        <c:scaling>
          <c:orientation val="minMax"/>
        </c:scaling>
        <c:delete val="0"/>
        <c:axPos val="b"/>
        <c:majorTickMark val="out"/>
        <c:minorTickMark val="none"/>
        <c:tickLblPos val="nextTo"/>
        <c:crossAx val="374906608"/>
        <c:crosses val="autoZero"/>
        <c:auto val="1"/>
        <c:lblAlgn val="ctr"/>
        <c:lblOffset val="100"/>
        <c:noMultiLvlLbl val="0"/>
      </c:catAx>
      <c:valAx>
        <c:axId val="37490660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490425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ro_const_p_215!$G$13:$Q$13</c:f>
              <c:numCache>
                <c:formatCode>0.00</c:formatCode>
                <c:ptCount val="11"/>
                <c:pt idx="0" formatCode="General">
                  <c:v>106.00688781590684</c:v>
                </c:pt>
                <c:pt idx="1">
                  <c:v>117.45942026414905</c:v>
                </c:pt>
                <c:pt idx="2">
                  <c:v>130.88949840532598</c:v>
                </c:pt>
                <c:pt idx="3">
                  <c:v>146.76515375281676</c:v>
                </c:pt>
                <c:pt idx="4">
                  <c:v>165.71443985740774</c:v>
                </c:pt>
                <c:pt idx="5">
                  <c:v>188.58083278399627</c:v>
                </c:pt>
                <c:pt idx="6">
                  <c:v>216.51887672624588</c:v>
                </c:pt>
                <c:pt idx="7">
                  <c:v>251.14350788503336</c:v>
                </c:pt>
                <c:pt idx="8">
                  <c:v>294.77036849138079</c:v>
                </c:pt>
                <c:pt idx="9">
                  <c:v>350.81610588232104</c:v>
                </c:pt>
                <c:pt idx="10">
                  <c:v>424.49212681123078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03864"/>
        <c:axId val="374905040"/>
      </c:lineChart>
      <c:catAx>
        <c:axId val="374903864"/>
        <c:scaling>
          <c:orientation val="minMax"/>
        </c:scaling>
        <c:delete val="0"/>
        <c:axPos val="b"/>
        <c:majorTickMark val="out"/>
        <c:minorTickMark val="none"/>
        <c:tickLblPos val="nextTo"/>
        <c:crossAx val="374905040"/>
        <c:crosses val="autoZero"/>
        <c:auto val="1"/>
        <c:lblAlgn val="ctr"/>
        <c:lblOffset val="100"/>
        <c:noMultiLvlLbl val="0"/>
      </c:catAx>
      <c:valAx>
        <c:axId val="37490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903864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8.1717244377049678E-2"/>
          <c:y val="0.2179515828406304"/>
          <c:w val="0.54736707028224751"/>
          <c:h val="0.68921672163286607"/>
        </c:manualLayout>
      </c:layout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03080"/>
        <c:axId val="374907784"/>
      </c:lineChart>
      <c:catAx>
        <c:axId val="374903080"/>
        <c:scaling>
          <c:orientation val="minMax"/>
        </c:scaling>
        <c:delete val="0"/>
        <c:axPos val="b"/>
        <c:majorTickMark val="out"/>
        <c:minorTickMark val="none"/>
        <c:tickLblPos val="nextTo"/>
        <c:crossAx val="374907784"/>
        <c:crosses val="autoZero"/>
        <c:auto val="1"/>
        <c:lblAlgn val="ctr"/>
        <c:lblOffset val="100"/>
        <c:noMultiLvlLbl val="0"/>
      </c:catAx>
      <c:valAx>
        <c:axId val="374907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9030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56"/>
          <c:y val="7.4548702245552628E-2"/>
          <c:w val="0.70526137357830321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05432"/>
        <c:axId val="374907000"/>
      </c:lineChart>
      <c:catAx>
        <c:axId val="374905432"/>
        <c:scaling>
          <c:orientation val="minMax"/>
        </c:scaling>
        <c:delete val="0"/>
        <c:axPos val="b"/>
        <c:majorTickMark val="out"/>
        <c:minorTickMark val="none"/>
        <c:tickLblPos val="nextTo"/>
        <c:crossAx val="374907000"/>
        <c:crosses val="autoZero"/>
        <c:auto val="1"/>
        <c:lblAlgn val="ctr"/>
        <c:lblOffset val="100"/>
        <c:noMultiLvlLbl val="0"/>
      </c:catAx>
      <c:valAx>
        <c:axId val="37490700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490543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0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ro_const_p_105!$G$14:$Q$14</c:f>
              <c:numCache>
                <c:formatCode>General</c:formatCode>
                <c:ptCount val="11"/>
                <c:pt idx="0" formatCode="0">
                  <c:v>104787.35932845269</c:v>
                </c:pt>
                <c:pt idx="1">
                  <c:v>104736.44739088853</c:v>
                </c:pt>
                <c:pt idx="2">
                  <c:v>104669.91150684966</c:v>
                </c:pt>
                <c:pt idx="3">
                  <c:v>104581.69876837725</c:v>
                </c:pt>
                <c:pt idx="4">
                  <c:v>104462.79013651557</c:v>
                </c:pt>
                <c:pt idx="5">
                  <c:v>104299.47966668912</c:v>
                </c:pt>
                <c:pt idx="6">
                  <c:v>104070.3707546783</c:v>
                </c:pt>
                <c:pt idx="7">
                  <c:v>103741.01730906773</c:v>
                </c:pt>
                <c:pt idx="8">
                  <c:v>103253.96426653017</c:v>
                </c:pt>
                <c:pt idx="9">
                  <c:v>102509.34835039773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08176"/>
        <c:axId val="374909744"/>
      </c:lineChart>
      <c:catAx>
        <c:axId val="374908176"/>
        <c:scaling>
          <c:orientation val="minMax"/>
        </c:scaling>
        <c:delete val="0"/>
        <c:axPos val="b"/>
        <c:majorTickMark val="out"/>
        <c:minorTickMark val="none"/>
        <c:tickLblPos val="nextTo"/>
        <c:crossAx val="374909744"/>
        <c:crosses val="autoZero"/>
        <c:auto val="1"/>
        <c:lblAlgn val="ctr"/>
        <c:lblOffset val="100"/>
        <c:noMultiLvlLbl val="0"/>
      </c:catAx>
      <c:valAx>
        <c:axId val="37490974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490817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ro_const_p_105!$G$13:$Q$13</c:f>
              <c:numCache>
                <c:formatCode>0.00</c:formatCode>
                <c:ptCount val="11"/>
                <c:pt idx="0" formatCode="General">
                  <c:v>18.944318656593634</c:v>
                </c:pt>
                <c:pt idx="1">
                  <c:v>20.990985003017538</c:v>
                </c:pt>
                <c:pt idx="2">
                  <c:v>23.391246646933169</c:v>
                </c:pt>
                <c:pt idx="3">
                  <c:v>26.229183277055121</c:v>
                </c:pt>
                <c:pt idx="4">
                  <c:v>29.617082415144949</c:v>
                </c:pt>
                <c:pt idx="5">
                  <c:v>33.705687546343334</c:v>
                </c:pt>
                <c:pt idx="6">
                  <c:v>38.70127456379624</c:v>
                </c:pt>
                <c:pt idx="7">
                  <c:v>44.892331455419011</c:v>
                </c:pt>
                <c:pt idx="8">
                  <c:v>52.692528974875373</c:v>
                </c:pt>
                <c:pt idx="9">
                  <c:v>62.712344407440831</c:v>
                </c:pt>
                <c:pt idx="10">
                  <c:v>75.883225852584502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908960"/>
        <c:axId val="374909352"/>
      </c:lineChart>
      <c:catAx>
        <c:axId val="374908960"/>
        <c:scaling>
          <c:orientation val="minMax"/>
        </c:scaling>
        <c:delete val="0"/>
        <c:axPos val="b"/>
        <c:majorTickMark val="out"/>
        <c:minorTickMark val="none"/>
        <c:tickLblPos val="nextTo"/>
        <c:crossAx val="374909352"/>
        <c:crosses val="autoZero"/>
        <c:auto val="1"/>
        <c:lblAlgn val="ctr"/>
        <c:lblOffset val="100"/>
        <c:noMultiLvlLbl val="0"/>
      </c:catAx>
      <c:valAx>
        <c:axId val="374909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90896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ro_const_p_215!$G$3:$Q$3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314360"/>
        <c:axId val="375191488"/>
      </c:lineChart>
      <c:catAx>
        <c:axId val="373314360"/>
        <c:scaling>
          <c:orientation val="minMax"/>
        </c:scaling>
        <c:delete val="0"/>
        <c:axPos val="b"/>
        <c:majorTickMark val="out"/>
        <c:minorTickMark val="none"/>
        <c:tickLblPos val="nextTo"/>
        <c:crossAx val="375191488"/>
        <c:crosses val="autoZero"/>
        <c:auto val="1"/>
        <c:lblAlgn val="ctr"/>
        <c:lblOffset val="100"/>
        <c:noMultiLvlLbl val="0"/>
      </c:catAx>
      <c:valAx>
        <c:axId val="37519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31436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8932709440903162"/>
          <c:y val="7.4548702245552628E-2"/>
          <c:w val="0.7052613735783034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ro_var_p_105!$G$10:$Q$10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95016"/>
        <c:axId val="375191096"/>
      </c:lineChart>
      <c:catAx>
        <c:axId val="375195016"/>
        <c:scaling>
          <c:orientation val="minMax"/>
        </c:scaling>
        <c:delete val="0"/>
        <c:axPos val="b"/>
        <c:majorTickMark val="out"/>
        <c:minorTickMark val="none"/>
        <c:tickLblPos val="nextTo"/>
        <c:crossAx val="375191096"/>
        <c:crosses val="autoZero"/>
        <c:auto val="1"/>
        <c:lblAlgn val="ctr"/>
        <c:lblOffset val="100"/>
        <c:noMultiLvlLbl val="0"/>
      </c:catAx>
      <c:valAx>
        <c:axId val="37519109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75195016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69832633420822399"/>
          <c:y val="1.38888888888889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ro_var_p_105!$G$14:$Q$14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92664"/>
        <c:axId val="375194624"/>
      </c:lineChart>
      <c:catAx>
        <c:axId val="375192664"/>
        <c:scaling>
          <c:orientation val="minMax"/>
        </c:scaling>
        <c:delete val="0"/>
        <c:axPos val="b"/>
        <c:majorTickMark val="out"/>
        <c:minorTickMark val="none"/>
        <c:tickLblPos val="nextTo"/>
        <c:crossAx val="375194624"/>
        <c:crosses val="autoZero"/>
        <c:auto val="1"/>
        <c:lblAlgn val="ctr"/>
        <c:lblOffset val="100"/>
        <c:noMultiLvlLbl val="0"/>
      </c:catAx>
      <c:valAx>
        <c:axId val="37519462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519266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ro_var_p_105!$G$13:$Q$13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89528"/>
        <c:axId val="375195408"/>
      </c:lineChart>
      <c:catAx>
        <c:axId val="375189528"/>
        <c:scaling>
          <c:orientation val="minMax"/>
        </c:scaling>
        <c:delete val="0"/>
        <c:axPos val="b"/>
        <c:majorTickMark val="out"/>
        <c:minorTickMark val="none"/>
        <c:tickLblPos val="nextTo"/>
        <c:crossAx val="375195408"/>
        <c:crosses val="autoZero"/>
        <c:auto val="1"/>
        <c:lblAlgn val="ctr"/>
        <c:lblOffset val="100"/>
        <c:noMultiLvlLbl val="0"/>
      </c:catAx>
      <c:valAx>
        <c:axId val="375195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18952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166968</xdr:colOff>
      <xdr:row>20</xdr:row>
      <xdr:rowOff>104216</xdr:rowOff>
    </xdr:from>
    <xdr:to>
      <xdr:col>17</xdr:col>
      <xdr:colOff>471768</xdr:colOff>
      <xdr:row>35</xdr:row>
      <xdr:rowOff>158004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174252</xdr:colOff>
      <xdr:row>36</xdr:row>
      <xdr:rowOff>150160</xdr:rowOff>
    </xdr:from>
    <xdr:to>
      <xdr:col>17</xdr:col>
      <xdr:colOff>479052</xdr:colOff>
      <xdr:row>52</xdr:row>
      <xdr:rowOff>13448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123825</xdr:rowOff>
        </xdr:from>
        <xdr:to>
          <xdr:col>2</xdr:col>
          <xdr:colOff>409575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251684</xdr:colOff>
      <xdr:row>26</xdr:row>
      <xdr:rowOff>447</xdr:rowOff>
    </xdr:from>
    <xdr:to>
      <xdr:col>10</xdr:col>
      <xdr:colOff>10758</xdr:colOff>
      <xdr:row>41</xdr:row>
      <xdr:rowOff>448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307041</xdr:colOff>
      <xdr:row>40</xdr:row>
      <xdr:rowOff>180415</xdr:rowOff>
    </xdr:from>
    <xdr:to>
      <xdr:col>9</xdr:col>
      <xdr:colOff>651061</xdr:colOff>
      <xdr:row>57</xdr:row>
      <xdr:rowOff>81802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14568</xdr:colOff>
      <xdr:row>25</xdr:row>
      <xdr:rowOff>189941</xdr:rowOff>
    </xdr:from>
    <xdr:to>
      <xdr:col>17</xdr:col>
      <xdr:colOff>319368</xdr:colOff>
      <xdr:row>41</xdr:row>
      <xdr:rowOff>53229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21852</xdr:colOff>
      <xdr:row>41</xdr:row>
      <xdr:rowOff>64435</xdr:rowOff>
    </xdr:from>
    <xdr:to>
      <xdr:col>17</xdr:col>
      <xdr:colOff>326652</xdr:colOff>
      <xdr:row>56</xdr:row>
      <xdr:rowOff>118223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21</xdr:row>
          <xdr:rowOff>104775</xdr:rowOff>
        </xdr:from>
        <xdr:to>
          <xdr:col>2</xdr:col>
          <xdr:colOff>123825</xdr:colOff>
          <xdr:row>22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22</xdr:row>
      <xdr:rowOff>76647</xdr:rowOff>
    </xdr:from>
    <xdr:to>
      <xdr:col>8</xdr:col>
      <xdr:colOff>86958</xdr:colOff>
      <xdr:row>37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37</xdr:row>
      <xdr:rowOff>161365</xdr:rowOff>
    </xdr:from>
    <xdr:to>
      <xdr:col>7</xdr:col>
      <xdr:colOff>708211</xdr:colOff>
      <xdr:row>54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557493</xdr:colOff>
      <xdr:row>19</xdr:row>
      <xdr:rowOff>161366</xdr:rowOff>
    </xdr:from>
    <xdr:to>
      <xdr:col>17</xdr:col>
      <xdr:colOff>252693</xdr:colOff>
      <xdr:row>35</xdr:row>
      <xdr:rowOff>24654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555252</xdr:colOff>
      <xdr:row>36</xdr:row>
      <xdr:rowOff>7285</xdr:rowOff>
    </xdr:from>
    <xdr:to>
      <xdr:col>17</xdr:col>
      <xdr:colOff>250452</xdr:colOff>
      <xdr:row>51</xdr:row>
      <xdr:rowOff>61073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17</xdr:row>
          <xdr:rowOff>104775</xdr:rowOff>
        </xdr:from>
        <xdr:to>
          <xdr:col>2</xdr:col>
          <xdr:colOff>190500</xdr:colOff>
          <xdr:row>18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537434</xdr:colOff>
      <xdr:row>29</xdr:row>
      <xdr:rowOff>76647</xdr:rowOff>
    </xdr:from>
    <xdr:to>
      <xdr:col>8</xdr:col>
      <xdr:colOff>86958</xdr:colOff>
      <xdr:row>44</xdr:row>
      <xdr:rowOff>76648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573741</xdr:colOff>
      <xdr:row>44</xdr:row>
      <xdr:rowOff>161365</xdr:rowOff>
    </xdr:from>
    <xdr:to>
      <xdr:col>7</xdr:col>
      <xdr:colOff>708211</xdr:colOff>
      <xdr:row>61</xdr:row>
      <xdr:rowOff>62752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14568</xdr:colOff>
      <xdr:row>27</xdr:row>
      <xdr:rowOff>132791</xdr:rowOff>
    </xdr:from>
    <xdr:to>
      <xdr:col>17</xdr:col>
      <xdr:colOff>319368</xdr:colOff>
      <xdr:row>42</xdr:row>
      <xdr:rowOff>186579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240927</xdr:colOff>
      <xdr:row>43</xdr:row>
      <xdr:rowOff>140635</xdr:rowOff>
    </xdr:from>
    <xdr:to>
      <xdr:col>17</xdr:col>
      <xdr:colOff>545727</xdr:colOff>
      <xdr:row>59</xdr:row>
      <xdr:rowOff>3923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19</xdr:row>
          <xdr:rowOff>180975</xdr:rowOff>
        </xdr:from>
        <xdr:to>
          <xdr:col>2</xdr:col>
          <xdr:colOff>333375</xdr:colOff>
          <xdr:row>21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Q26"/>
  <sheetViews>
    <sheetView tabSelected="1" zoomScaleNormal="100" workbookViewId="0">
      <selection activeCell="Q19" sqref="Q19"/>
    </sheetView>
  </sheetViews>
  <sheetFormatPr defaultRowHeight="15" x14ac:dyDescent="0.25"/>
  <cols>
    <col min="7" max="7" width="9.42578125" bestFit="1" customWidth="1"/>
    <col min="8" max="8" width="10.42578125" bestFit="1" customWidth="1"/>
  </cols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106.0066494802156</v>
      </c>
      <c r="H5" s="4">
        <v>117.45915547468901</v>
      </c>
      <c r="I5" s="4">
        <v>130.88916111288256</v>
      </c>
      <c r="J5" s="4">
        <v>146.76477671112903</v>
      </c>
      <c r="K5" s="4">
        <v>165.71405897769688</v>
      </c>
      <c r="L5" s="4">
        <v>188.58048393824646</v>
      </c>
      <c r="M5" s="4">
        <v>216.51859078261018</v>
      </c>
      <c r="N5" s="4">
        <v>251.1433041670648</v>
      </c>
      <c r="O5" s="4">
        <v>294.77024799518233</v>
      </c>
      <c r="P5" s="4">
        <v>350.81604766334755</v>
      </c>
      <c r="Q5" s="4">
        <v>424.49209355946937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208341.8347325924</v>
      </c>
      <c r="H6" s="4">
        <v>206747.69702751355</v>
      </c>
      <c r="I6" s="4">
        <v>204664.54942330311</v>
      </c>
      <c r="J6" s="4">
        <v>201903.39057933635</v>
      </c>
      <c r="K6" s="4">
        <v>198182.14845384139</v>
      </c>
      <c r="L6" s="4">
        <v>193072.08118233876</v>
      </c>
      <c r="M6" s="4">
        <v>185903.72781568934</v>
      </c>
      <c r="N6" s="4">
        <v>175599.12512437001</v>
      </c>
      <c r="O6" s="4">
        <v>160360.02975903629</v>
      </c>
      <c r="P6" s="4">
        <v>137060.78872945113</v>
      </c>
      <c r="Q6" s="4">
        <v>100000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215000</v>
      </c>
      <c r="F10" s="4" t="s">
        <v>14</v>
      </c>
      <c r="G10" s="5">
        <f>G4*G7*G13</f>
        <v>2.5257030085821359</v>
      </c>
      <c r="H10" s="5">
        <f>H4*H7*H13</f>
        <v>2.5257087023020772</v>
      </c>
      <c r="I10" s="5">
        <f t="shared" ref="I10:Q10" si="3">I4*I7*I13</f>
        <v>2.5260271803797933</v>
      </c>
      <c r="J10" s="5">
        <f t="shared" si="3"/>
        <v>2.526440079259737</v>
      </c>
      <c r="K10" s="5">
        <f t="shared" si="3"/>
        <v>2.526902727544786</v>
      </c>
      <c r="L10" s="5">
        <f t="shared" si="3"/>
        <v>2.5273667817908154</v>
      </c>
      <c r="M10" s="5">
        <f t="shared" si="3"/>
        <v>2.5277844762585291</v>
      </c>
      <c r="N10" s="5">
        <f t="shared" si="3"/>
        <v>2.5281152381201712</v>
      </c>
      <c r="O10" s="5">
        <f t="shared" si="3"/>
        <v>2.5283344495471383</v>
      </c>
      <c r="P10" s="5">
        <f t="shared" si="3"/>
        <v>2.528442603904173</v>
      </c>
      <c r="Q10" s="5">
        <f t="shared" si="3"/>
        <v>2.5284702340956646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-3.7408250375376324E-2</v>
      </c>
      <c r="I11" s="6">
        <f t="shared" ref="I11:P11" si="4">(I13)*(I10-J10)</f>
        <v>-5.4044127287947663E-2</v>
      </c>
      <c r="J11" s="6">
        <f t="shared" si="4"/>
        <v>-6.7900646688684507E-2</v>
      </c>
      <c r="K11" s="6">
        <f t="shared" si="4"/>
        <v>-7.6900489444224659E-2</v>
      </c>
      <c r="L11" s="6">
        <f t="shared" si="4"/>
        <v>-7.8769170570711852E-2</v>
      </c>
      <c r="M11" s="6">
        <f t="shared" si="4"/>
        <v>-7.1616186746642274E-2</v>
      </c>
      <c r="N11" s="6">
        <f t="shared" si="4"/>
        <v>-5.5053526736979753E-2</v>
      </c>
      <c r="O11" s="6">
        <f t="shared" si="4"/>
        <v>-3.1880699677068809E-2</v>
      </c>
      <c r="P11" s="6">
        <f t="shared" si="4"/>
        <v>-9.6931161838857988E-3</v>
      </c>
      <c r="Q11" s="2">
        <v>0</v>
      </c>
    </row>
    <row r="12" spans="2:17" x14ac:dyDescent="0.25">
      <c r="B12" s="4" t="s">
        <v>6</v>
      </c>
      <c r="C12" s="4">
        <v>100000</v>
      </c>
    </row>
    <row r="13" spans="2:17" x14ac:dyDescent="0.25">
      <c r="F13" s="4" t="s">
        <v>22</v>
      </c>
      <c r="G13" s="2">
        <f>(H4*H5*H7)/(G4*G7)</f>
        <v>106.00688781590684</v>
      </c>
      <c r="H13" s="7">
        <f t="shared" ref="H13:Q13" si="5">((G6-H6)/H7+G5*H5)^0.5</f>
        <v>117.45942026414905</v>
      </c>
      <c r="I13" s="7">
        <f t="shared" si="5"/>
        <v>130.88949840532598</v>
      </c>
      <c r="J13" s="7">
        <f t="shared" si="5"/>
        <v>146.76515375281676</v>
      </c>
      <c r="K13" s="7">
        <f t="shared" si="5"/>
        <v>165.71443985740774</v>
      </c>
      <c r="L13" s="7">
        <f t="shared" si="5"/>
        <v>188.58083278399627</v>
      </c>
      <c r="M13" s="7">
        <f t="shared" si="5"/>
        <v>216.51887672624588</v>
      </c>
      <c r="N13" s="7">
        <f t="shared" si="5"/>
        <v>251.14350788503336</v>
      </c>
      <c r="O13" s="7">
        <f t="shared" si="5"/>
        <v>294.77036849138079</v>
      </c>
      <c r="P13" s="7">
        <f t="shared" si="5"/>
        <v>350.81610588232104</v>
      </c>
      <c r="Q13" s="7">
        <f t="shared" si="5"/>
        <v>424.49212681123078</v>
      </c>
    </row>
    <row r="14" spans="2:17" x14ac:dyDescent="0.25">
      <c r="B14" s="4" t="s">
        <v>8</v>
      </c>
      <c r="C14" s="4">
        <v>1500</v>
      </c>
      <c r="F14" s="4" t="s">
        <v>6</v>
      </c>
      <c r="G14" s="3">
        <f>C10-(G7*G13^2)/2</f>
        <v>208341.80479333457</v>
      </c>
      <c r="H14" s="4">
        <f>H6+H11</f>
        <v>206747.65961926317</v>
      </c>
      <c r="I14" s="4">
        <f t="shared" ref="I14:Q14" si="6">I6+I11</f>
        <v>204664.49537917582</v>
      </c>
      <c r="J14" s="4">
        <f t="shared" si="6"/>
        <v>201903.32267868967</v>
      </c>
      <c r="K14" s="4">
        <f t="shared" si="6"/>
        <v>198182.07155335194</v>
      </c>
      <c r="L14" s="4">
        <f t="shared" si="6"/>
        <v>193072.0024131682</v>
      </c>
      <c r="M14" s="4">
        <f t="shared" si="6"/>
        <v>185903.65619950258</v>
      </c>
      <c r="N14" s="4">
        <f t="shared" si="6"/>
        <v>175599.07007084327</v>
      </c>
      <c r="O14" s="4">
        <f t="shared" si="6"/>
        <v>160359.99787833661</v>
      </c>
      <c r="P14" s="4">
        <f t="shared" si="6"/>
        <v>137060.77903633495</v>
      </c>
      <c r="Q14" s="2">
        <f t="shared" si="6"/>
        <v>100000</v>
      </c>
    </row>
    <row r="15" spans="2:17" x14ac:dyDescent="0.25">
      <c r="F15" s="4" t="s">
        <v>13</v>
      </c>
      <c r="G15" s="4">
        <v>1.1850000000000001</v>
      </c>
      <c r="H15" s="4">
        <v>1.1850000000000001</v>
      </c>
      <c r="I15" s="4">
        <v>1.1850000000000001</v>
      </c>
      <c r="J15" s="4">
        <v>1.1850000000000001</v>
      </c>
      <c r="K15" s="4">
        <v>1.1850000000000001</v>
      </c>
      <c r="L15" s="4">
        <v>1.1850000000000001</v>
      </c>
      <c r="M15" s="4">
        <v>1.1850000000000001</v>
      </c>
      <c r="N15" s="4">
        <v>1.1850000000000001</v>
      </c>
      <c r="O15" s="4">
        <v>1.1850000000000001</v>
      </c>
      <c r="P15" s="4">
        <v>1.1850000000000001</v>
      </c>
      <c r="Q15" s="4">
        <v>1.1850000000000001</v>
      </c>
    </row>
    <row r="17" spans="6:17" x14ac:dyDescent="0.25">
      <c r="F17" s="4" t="s">
        <v>16</v>
      </c>
      <c r="G17" s="7">
        <f>$C$11-(G13^2)/(2*$C$8)</f>
        <v>282.56588397828841</v>
      </c>
      <c r="H17" s="7">
        <f t="shared" ref="H17:Q17" si="7">$C$11-(H13^2)/(2*$C$8)</f>
        <v>281.29186210235468</v>
      </c>
      <c r="I17" s="7">
        <f t="shared" si="7"/>
        <v>279.63149502548896</v>
      </c>
      <c r="J17" s="7">
        <f t="shared" si="7"/>
        <v>277.43717525085231</v>
      </c>
      <c r="K17" s="7">
        <f t="shared" si="7"/>
        <v>274.48951235700201</v>
      </c>
      <c r="L17" s="7">
        <f t="shared" si="7"/>
        <v>270.45653002115415</v>
      </c>
      <c r="M17" s="7">
        <f t="shared" si="7"/>
        <v>264.8224731288355</v>
      </c>
      <c r="N17" s="7">
        <f t="shared" si="7"/>
        <v>256.76162208641989</v>
      </c>
      <c r="O17" s="7">
        <f t="shared" si="7"/>
        <v>244.90553457758642</v>
      </c>
      <c r="P17" s="7">
        <f t="shared" si="7"/>
        <v>226.89360207764048</v>
      </c>
      <c r="Q17" s="7">
        <f t="shared" si="7"/>
        <v>198.45790634970035</v>
      </c>
    </row>
    <row r="18" spans="6:17" x14ac:dyDescent="0.25">
      <c r="F18" s="4" t="s">
        <v>23</v>
      </c>
      <c r="G18" s="8">
        <f>SQRT($C$6*$C$7*G17)</f>
        <v>336.93307287920595</v>
      </c>
      <c r="H18" s="8">
        <f t="shared" ref="H18:Q18" si="8">SQRT($C$6*$C$7*H17)</f>
        <v>336.17263950495988</v>
      </c>
      <c r="I18" s="8">
        <f t="shared" si="8"/>
        <v>335.17901656672433</v>
      </c>
      <c r="J18" s="8">
        <f t="shared" si="8"/>
        <v>333.86132072841656</v>
      </c>
      <c r="K18" s="8">
        <f t="shared" si="8"/>
        <v>332.08301082132914</v>
      </c>
      <c r="L18" s="8">
        <f t="shared" si="8"/>
        <v>329.63439120717197</v>
      </c>
      <c r="M18" s="8">
        <f t="shared" si="8"/>
        <v>326.18290675971889</v>
      </c>
      <c r="N18" s="8">
        <f t="shared" si="8"/>
        <v>321.18025265999421</v>
      </c>
      <c r="O18" s="8">
        <f t="shared" si="8"/>
        <v>313.67729196790572</v>
      </c>
      <c r="P18" s="8">
        <f t="shared" si="8"/>
        <v>301.92210102209231</v>
      </c>
      <c r="Q18" s="8">
        <f t="shared" si="8"/>
        <v>282.36962871629925</v>
      </c>
    </row>
    <row r="19" spans="6:17" x14ac:dyDescent="0.25">
      <c r="F19" s="4" t="s">
        <v>18</v>
      </c>
      <c r="G19" s="7">
        <f>G13/G18</f>
        <v>0.31462298108654779</v>
      </c>
      <c r="H19" s="7">
        <f t="shared" ref="H19:Q19" si="9">H13/H18</f>
        <v>0.34940208232626274</v>
      </c>
      <c r="I19" s="7">
        <f t="shared" si="9"/>
        <v>0.39050624274168938</v>
      </c>
      <c r="J19" s="7">
        <f t="shared" si="9"/>
        <v>0.4395991528237097</v>
      </c>
      <c r="K19" s="7">
        <f t="shared" si="9"/>
        <v>0.49901510904623542</v>
      </c>
      <c r="L19" s="7">
        <f t="shared" si="9"/>
        <v>0.57209089164933358</v>
      </c>
      <c r="M19" s="7">
        <f t="shared" si="9"/>
        <v>0.66379590174461067</v>
      </c>
      <c r="N19" s="7">
        <f t="shared" si="9"/>
        <v>0.78193944305441876</v>
      </c>
      <c r="O19" s="7">
        <f t="shared" si="9"/>
        <v>0.93972492124658036</v>
      </c>
      <c r="P19" s="7">
        <f t="shared" si="9"/>
        <v>1.1619424503695113</v>
      </c>
      <c r="Q19" s="14">
        <f t="shared" si="9"/>
        <v>1.5033207669714508</v>
      </c>
    </row>
    <row r="23" spans="6:17" x14ac:dyDescent="0.25">
      <c r="L23" s="12"/>
      <c r="M23" s="12"/>
      <c r="N23" s="12"/>
      <c r="O23" s="12"/>
      <c r="P23" s="12"/>
      <c r="Q23" s="12"/>
    </row>
    <row r="24" spans="6:17" x14ac:dyDescent="0.25">
      <c r="L24" s="12"/>
      <c r="M24" s="12"/>
      <c r="N24" s="12"/>
      <c r="O24" s="12"/>
      <c r="P24" s="12"/>
      <c r="Q24" s="12"/>
    </row>
    <row r="25" spans="6:17" x14ac:dyDescent="0.25">
      <c r="L25" s="12"/>
      <c r="M25" s="12"/>
      <c r="N25" s="12"/>
      <c r="O25" s="12"/>
      <c r="P25" s="12"/>
      <c r="Q25" s="12"/>
    </row>
    <row r="26" spans="6:17" x14ac:dyDescent="0.25">
      <c r="L26" s="12"/>
      <c r="M26" s="12"/>
      <c r="N26" s="12"/>
      <c r="O26" s="12"/>
      <c r="P26" s="12"/>
      <c r="Q26" s="1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uznetsov">
                <anchor moveWithCells="1">
                  <from>
                    <xdr:col>1</xdr:col>
                    <xdr:colOff>438150</xdr:colOff>
                    <xdr:row>16</xdr:row>
                    <xdr:rowOff>123825</xdr:rowOff>
                  </from>
                  <to>
                    <xdr:col>2</xdr:col>
                    <xdr:colOff>409575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S34"/>
  <sheetViews>
    <sheetView workbookViewId="0">
      <selection activeCell="R25" sqref="R25"/>
    </sheetView>
  </sheetViews>
  <sheetFormatPr defaultRowHeight="15" x14ac:dyDescent="0.25"/>
  <cols>
    <col min="7" max="7" width="12" bestFit="1" customWidth="1"/>
    <col min="8" max="10" width="12.140625" bestFit="1" customWidth="1"/>
    <col min="11" max="17" width="10.42578125" bestFit="1" customWidth="1"/>
  </cols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47.675931871297387</v>
      </c>
      <c r="H5" s="4">
        <v>52.957176448407424</v>
      </c>
      <c r="I5" s="4">
        <v>59.196971584267793</v>
      </c>
      <c r="J5" s="4">
        <v>66.65854585539735</v>
      </c>
      <c r="K5" s="4">
        <v>75.710076051376205</v>
      </c>
      <c r="L5" s="4">
        <v>86.889371815688889</v>
      </c>
      <c r="M5" s="4">
        <v>101.02672856863498</v>
      </c>
      <c r="N5" s="4">
        <v>119.51356985972332</v>
      </c>
      <c r="O5" s="4">
        <v>145.01883547579226</v>
      </c>
      <c r="P5" s="4">
        <v>184.23872042256903</v>
      </c>
      <c r="Q5" s="4">
        <v>329.83565041946338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212159.52716276169</v>
      </c>
      <c r="H6" s="4">
        <v>211440.93331867701</v>
      </c>
      <c r="I6" s="4">
        <v>210494.97170510088</v>
      </c>
      <c r="J6" s="4">
        <v>209226.80708743315</v>
      </c>
      <c r="K6" s="4">
        <v>207490.12224377322</v>
      </c>
      <c r="L6" s="4">
        <v>205049.68242394357</v>
      </c>
      <c r="M6" s="4">
        <v>201506.88124171103</v>
      </c>
      <c r="N6" s="4">
        <v>196133.96215355341</v>
      </c>
      <c r="O6" s="4">
        <v>187434.30158360861</v>
      </c>
      <c r="P6" s="4">
        <v>171513.78421177983</v>
      </c>
      <c r="Q6" s="4">
        <v>100000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2.5757162685036858</v>
      </c>
      <c r="H7" s="4">
        <v>2.5693605226156131</v>
      </c>
      <c r="I7" s="4">
        <v>2.5609767245140604</v>
      </c>
      <c r="J7" s="4">
        <v>2.5497092599560349</v>
      </c>
      <c r="K7" s="4">
        <v>2.5342307942469224</v>
      </c>
      <c r="L7" s="4">
        <v>2.512392318007016</v>
      </c>
      <c r="M7" s="4">
        <v>2.4805184703104728</v>
      </c>
      <c r="N7" s="4">
        <v>2.4318142524564936</v>
      </c>
      <c r="O7" s="4">
        <v>2.3520578787350588</v>
      </c>
      <c r="P7" s="4">
        <v>2.2032811077046799</v>
      </c>
      <c r="Q7" s="4">
        <v>1.4891551603547946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215000</v>
      </c>
      <c r="E10" s="10"/>
      <c r="F10" s="4" t="s">
        <v>14</v>
      </c>
      <c r="G10" s="5">
        <f t="shared" ref="G10:Q10" si="3">G4*G7*G13</f>
        <v>2.4690331775749361</v>
      </c>
      <c r="H10" s="5">
        <f t="shared" si="3"/>
        <v>2.4690324245275095</v>
      </c>
      <c r="I10" s="5">
        <f t="shared" si="3"/>
        <v>2.4689931458945829</v>
      </c>
      <c r="J10" s="5">
        <f t="shared" si="3"/>
        <v>2.4689603768889765</v>
      </c>
      <c r="K10" s="5">
        <f t="shared" si="3"/>
        <v>2.4689347759846232</v>
      </c>
      <c r="L10" s="5">
        <f t="shared" si="3"/>
        <v>2.4689168190376001</v>
      </c>
      <c r="M10" s="5">
        <f t="shared" si="3"/>
        <v>2.4689066443522911</v>
      </c>
      <c r="N10" s="5">
        <f t="shared" si="3"/>
        <v>2.4689038446387763</v>
      </c>
      <c r="O10" s="5">
        <f t="shared" si="3"/>
        <v>2.4689072148450353</v>
      </c>
      <c r="P10" s="5">
        <f t="shared" si="3"/>
        <v>2.4689144950224375</v>
      </c>
      <c r="Q10" s="5">
        <f t="shared" si="3"/>
        <v>2.4689221734180014</v>
      </c>
    </row>
    <row r="11" spans="2:17" x14ac:dyDescent="0.25">
      <c r="B11" s="4" t="s">
        <v>7</v>
      </c>
      <c r="C11" s="4">
        <v>288.16000000000003</v>
      </c>
      <c r="E11" s="10"/>
      <c r="F11" s="4" t="s">
        <v>15</v>
      </c>
      <c r="G11" s="6">
        <v>0</v>
      </c>
      <c r="H11" s="6">
        <f>(H13)*(H10-I10)</f>
        <v>2.0800848601282532E-3</v>
      </c>
      <c r="I11" s="6">
        <f t="shared" ref="I11:P11" si="4">(I13)*(I10-J10)</f>
        <v>1.9398254373338441E-3</v>
      </c>
      <c r="J11" s="6">
        <f t="shared" si="4"/>
        <v>1.7065187641022144E-3</v>
      </c>
      <c r="K11" s="6">
        <f t="shared" si="4"/>
        <v>1.3595216681958808E-3</v>
      </c>
      <c r="L11" s="6">
        <f t="shared" si="4"/>
        <v>8.8407195496513068E-4</v>
      </c>
      <c r="M11" s="6">
        <f t="shared" si="4"/>
        <v>2.8284588859431905E-4</v>
      </c>
      <c r="N11" s="6">
        <f t="shared" si="4"/>
        <v>-4.02785378967163E-4</v>
      </c>
      <c r="O11" s="6">
        <f t="shared" si="4"/>
        <v>-1.0557628574258465E-3</v>
      </c>
      <c r="P11" s="6">
        <f t="shared" si="4"/>
        <v>-1.4146577882780086E-3</v>
      </c>
      <c r="Q11" s="2">
        <v>0</v>
      </c>
    </row>
    <row r="12" spans="2:17" x14ac:dyDescent="0.25">
      <c r="B12" s="4" t="s">
        <v>6</v>
      </c>
      <c r="C12" s="4">
        <v>100000</v>
      </c>
    </row>
    <row r="13" spans="2:17" x14ac:dyDescent="0.25">
      <c r="F13" s="4" t="s">
        <v>22</v>
      </c>
      <c r="G13" s="2">
        <f>(H4*H5*H7)/(G4*G7)</f>
        <v>47.675917335367863</v>
      </c>
      <c r="H13" s="7">
        <f t="shared" ref="H13:Q13" si="5">((G6-H6)/H7+G5*H5)^0.5</f>
        <v>52.957160296633596</v>
      </c>
      <c r="I13" s="7">
        <f t="shared" si="5"/>
        <v>59.196957656802567</v>
      </c>
      <c r="J13" s="7">
        <f t="shared" si="5"/>
        <v>66.658534423230677</v>
      </c>
      <c r="K13" s="7">
        <f t="shared" si="5"/>
        <v>75.710067331938546</v>
      </c>
      <c r="L13" s="7">
        <f t="shared" si="5"/>
        <v>86.889365923431257</v>
      </c>
      <c r="M13" s="7">
        <f t="shared" si="5"/>
        <v>101.0267254485381</v>
      </c>
      <c r="N13" s="7">
        <f t="shared" si="5"/>
        <v>119.51356920565088</v>
      </c>
      <c r="O13" s="7">
        <f t="shared" si="5"/>
        <v>145.01883664241498</v>
      </c>
      <c r="P13" s="7">
        <f t="shared" si="5"/>
        <v>184.23872233734704</v>
      </c>
      <c r="Q13" s="7">
        <f t="shared" si="5"/>
        <v>329.83564982832405</v>
      </c>
    </row>
    <row r="14" spans="2:17" x14ac:dyDescent="0.25">
      <c r="B14" s="4" t="s">
        <v>8</v>
      </c>
      <c r="C14" s="4">
        <v>500</v>
      </c>
      <c r="F14" s="4" t="s">
        <v>6</v>
      </c>
      <c r="G14" s="3">
        <f>C10*G22</f>
        <v>212159.5288277659</v>
      </c>
      <c r="H14" s="9">
        <f>H6+H11</f>
        <v>211440.93539876188</v>
      </c>
      <c r="I14" s="9">
        <f t="shared" ref="I14:Q14" si="6">I6+I11</f>
        <v>210494.97364492633</v>
      </c>
      <c r="J14" s="9">
        <f t="shared" si="6"/>
        <v>209226.8087939519</v>
      </c>
      <c r="K14" s="9">
        <f t="shared" si="6"/>
        <v>207490.12360329489</v>
      </c>
      <c r="L14" s="9">
        <f t="shared" si="6"/>
        <v>205049.68330801552</v>
      </c>
      <c r="M14" s="9">
        <f t="shared" si="6"/>
        <v>201506.88152455693</v>
      </c>
      <c r="N14" s="9">
        <f t="shared" si="6"/>
        <v>196133.96175076804</v>
      </c>
      <c r="O14" s="9">
        <f t="shared" si="6"/>
        <v>187434.30052784574</v>
      </c>
      <c r="P14" s="9">
        <f t="shared" si="6"/>
        <v>171513.78279712205</v>
      </c>
      <c r="Q14" s="9">
        <f t="shared" si="6"/>
        <v>100000</v>
      </c>
    </row>
    <row r="15" spans="2:17" x14ac:dyDescent="0.25">
      <c r="E15" s="10"/>
      <c r="F15" s="4" t="s">
        <v>13</v>
      </c>
      <c r="G15" s="4">
        <f>G14/($C$7*G17)</f>
        <v>2.5757162825259421</v>
      </c>
      <c r="H15" s="4">
        <f t="shared" ref="H15:Q15" si="7">H14/($C$7*H17)</f>
        <v>2.5693605402618678</v>
      </c>
      <c r="I15" s="4">
        <f t="shared" si="7"/>
        <v>2.5609767407752262</v>
      </c>
      <c r="J15" s="4">
        <f t="shared" si="7"/>
        <v>2.5497092739870464</v>
      </c>
      <c r="K15" s="4">
        <f t="shared" si="7"/>
        <v>2.5342308050136917</v>
      </c>
      <c r="L15" s="4">
        <f t="shared" si="7"/>
        <v>2.5123923243362496</v>
      </c>
      <c r="M15" s="4">
        <f t="shared" si="7"/>
        <v>2.4805184710422652</v>
      </c>
      <c r="N15" s="4">
        <f t="shared" si="7"/>
        <v>2.4318142467890453</v>
      </c>
      <c r="O15" s="4">
        <f t="shared" si="7"/>
        <v>2.3520578669133081</v>
      </c>
      <c r="P15" s="4">
        <f t="shared" si="7"/>
        <v>2.2032810923846724</v>
      </c>
      <c r="Q15" s="4">
        <f t="shared" si="7"/>
        <v>1.4891551591194159</v>
      </c>
    </row>
    <row r="17" spans="5:19" x14ac:dyDescent="0.25">
      <c r="F17" s="4" t="s">
        <v>16</v>
      </c>
      <c r="G17" s="7">
        <f>$C$11-(G13^2)/(2*$C$8)</f>
        <v>287.02848213173598</v>
      </c>
      <c r="H17" s="7">
        <f t="shared" ref="H17:Q17" si="8">$C$11-(H13^2)/(2*$C$8)</f>
        <v>286.7639123722206</v>
      </c>
      <c r="I17" s="7">
        <f t="shared" si="8"/>
        <v>286.41553574481219</v>
      </c>
      <c r="J17" s="7">
        <f t="shared" si="8"/>
        <v>285.94805246343441</v>
      </c>
      <c r="K17" s="7">
        <f t="shared" si="8"/>
        <v>285.30654804091665</v>
      </c>
      <c r="L17" s="7">
        <f t="shared" si="8"/>
        <v>284.40165575937084</v>
      </c>
      <c r="M17" s="7">
        <f t="shared" si="8"/>
        <v>283.07915608579538</v>
      </c>
      <c r="N17" s="7">
        <f t="shared" si="8"/>
        <v>281.04953941443955</v>
      </c>
      <c r="O17" s="7">
        <f t="shared" si="8"/>
        <v>277.69083284492262</v>
      </c>
      <c r="P17" s="7">
        <f t="shared" si="8"/>
        <v>271.2623960531173</v>
      </c>
      <c r="Q17" s="7">
        <f t="shared" si="8"/>
        <v>234.00251498522863</v>
      </c>
    </row>
    <row r="18" spans="5:19" x14ac:dyDescent="0.25">
      <c r="F18" s="4" t="s">
        <v>23</v>
      </c>
      <c r="G18" s="8">
        <f>SQRT($C$6*$C$7*G17)</f>
        <v>339.58326313885368</v>
      </c>
      <c r="H18" s="8">
        <f t="shared" ref="H18:Q18" si="9">SQRT($C$6*$C$7*H17)</f>
        <v>339.42672087770762</v>
      </c>
      <c r="I18" s="8">
        <f t="shared" si="9"/>
        <v>339.22048106395982</v>
      </c>
      <c r="J18" s="8">
        <f t="shared" si="9"/>
        <v>338.9435326365608</v>
      </c>
      <c r="K18" s="8">
        <f t="shared" si="9"/>
        <v>338.56312112537756</v>
      </c>
      <c r="L18" s="8">
        <f t="shared" si="9"/>
        <v>338.02579300877238</v>
      </c>
      <c r="M18" s="8">
        <f t="shared" si="9"/>
        <v>337.23894824345842</v>
      </c>
      <c r="N18" s="8">
        <f t="shared" si="9"/>
        <v>336.02780806769067</v>
      </c>
      <c r="O18" s="8">
        <f t="shared" si="9"/>
        <v>334.01390862723423</v>
      </c>
      <c r="P18" s="8">
        <f t="shared" si="9"/>
        <v>330.12512362469056</v>
      </c>
      <c r="Q18" s="8">
        <f t="shared" si="9"/>
        <v>306.61545561578828</v>
      </c>
    </row>
    <row r="19" spans="5:19" x14ac:dyDescent="0.25">
      <c r="E19" s="10"/>
      <c r="F19" s="4" t="s">
        <v>18</v>
      </c>
      <c r="G19" s="6">
        <f>G13/G18</f>
        <v>0.14039536841329384</v>
      </c>
      <c r="H19" s="6">
        <f t="shared" ref="H19:Q19" si="10">H13/H18</f>
        <v>0.15601942050906942</v>
      </c>
      <c r="I19" s="6">
        <f t="shared" si="10"/>
        <v>0.17450879578713002</v>
      </c>
      <c r="J19" s="6">
        <f t="shared" si="10"/>
        <v>0.19666560357328508</v>
      </c>
      <c r="K19" s="6">
        <f t="shared" si="10"/>
        <v>0.22362171957855209</v>
      </c>
      <c r="L19" s="6">
        <f t="shared" si="10"/>
        <v>0.25704951432855988</v>
      </c>
      <c r="M19" s="6">
        <f t="shared" si="10"/>
        <v>0.29957015930320485</v>
      </c>
      <c r="N19" s="6">
        <f t="shared" si="10"/>
        <v>0.3556657108020525</v>
      </c>
      <c r="O19" s="6">
        <f t="shared" si="10"/>
        <v>0.43417005369156264</v>
      </c>
      <c r="P19" s="6">
        <f t="shared" si="10"/>
        <v>0.55808755272683386</v>
      </c>
      <c r="Q19" s="6">
        <f t="shared" si="10"/>
        <v>1.0757306710645154</v>
      </c>
    </row>
    <row r="20" spans="5:19" x14ac:dyDescent="0.25">
      <c r="F20" s="4" t="s">
        <v>19</v>
      </c>
      <c r="G20" s="4">
        <f>1-((($C$6-1)/($C$6+1))*G21^2)</f>
        <v>0.99620734123355947</v>
      </c>
      <c r="H20" s="4">
        <f t="shared" ref="H20:Q20" si="11">1-((($C$6-1)/($C$6+1))*H21^2)</f>
        <v>0.9953575992748569</v>
      </c>
      <c r="I20" s="4">
        <f t="shared" si="11"/>
        <v>0.99425900099594999</v>
      </c>
      <c r="J20" s="4">
        <f t="shared" si="11"/>
        <v>0.99281993962852022</v>
      </c>
      <c r="K20" s="4">
        <f t="shared" si="11"/>
        <v>0.99090798787003365</v>
      </c>
      <c r="L20" s="4">
        <f t="shared" si="11"/>
        <v>0.98832760381822748</v>
      </c>
      <c r="M20" s="4">
        <f t="shared" si="11"/>
        <v>0.98478279693759518</v>
      </c>
      <c r="N20" s="4">
        <f t="shared" si="11"/>
        <v>0.97980870200940839</v>
      </c>
      <c r="O20" s="4">
        <f t="shared" si="11"/>
        <v>0.97262125778326924</v>
      </c>
      <c r="P20" s="4">
        <f t="shared" si="11"/>
        <v>0.96161720138212892</v>
      </c>
      <c r="Q20" s="4">
        <f t="shared" si="11"/>
        <v>0.93017143754764897</v>
      </c>
    </row>
    <row r="21" spans="5:19" x14ac:dyDescent="0.25">
      <c r="F21" s="4" t="s">
        <v>21</v>
      </c>
      <c r="G21" s="4">
        <f>SQRT(((($C$6+1)/2)*G19^2)/(1+2*G19^2))</f>
        <v>0.15085076267173148</v>
      </c>
      <c r="H21" s="4">
        <f>SQRT(((($C$6+1)/2)*H19^2)/(1+2*H19^2))</f>
        <v>0.16689638807013948</v>
      </c>
      <c r="I21" s="4">
        <f t="shared" ref="I21:Q21" si="12">SQRT(((($C$6+1)/2)*I19^2)/(1+2*I19^2))</f>
        <v>0.18559632007208532</v>
      </c>
      <c r="J21" s="4">
        <f t="shared" si="12"/>
        <v>0.20755809362411992</v>
      </c>
      <c r="K21" s="4">
        <f t="shared" si="12"/>
        <v>0.23356385161192691</v>
      </c>
      <c r="L21" s="4">
        <f t="shared" si="12"/>
        <v>0.26464008972684983</v>
      </c>
      <c r="M21" s="4">
        <f t="shared" si="12"/>
        <v>0.30216422418021144</v>
      </c>
      <c r="N21" s="4">
        <f t="shared" si="12"/>
        <v>0.348062908026049</v>
      </c>
      <c r="O21" s="4">
        <f t="shared" si="12"/>
        <v>0.40530538276759254</v>
      </c>
      <c r="P21" s="4">
        <f t="shared" si="12"/>
        <v>0.47989247931930212</v>
      </c>
      <c r="Q21" s="4">
        <f t="shared" si="12"/>
        <v>0.64727998170351775</v>
      </c>
    </row>
    <row r="22" spans="5:19" x14ac:dyDescent="0.25">
      <c r="F22" s="4" t="s">
        <v>20</v>
      </c>
      <c r="G22" s="4">
        <f>(1-((($C$6-1)/($C$6+1))*G21^2))^($C$6/($C$6-1))</f>
        <v>0.98678850617565539</v>
      </c>
      <c r="H22" s="4">
        <f t="shared" ref="H22:Q22" si="13">(1-((($C$6-1)/($C$6+1))*H21^2))^($C$6/($C$6-1))</f>
        <v>0.98384566821891228</v>
      </c>
      <c r="I22" s="4">
        <f t="shared" si="13"/>
        <v>0.98005028579803233</v>
      </c>
      <c r="J22" s="4">
        <f t="shared" si="13"/>
        <v>0.97509452525461615</v>
      </c>
      <c r="K22" s="4">
        <f t="shared" si="13"/>
        <v>0.96853797331090341</v>
      </c>
      <c r="L22" s="4">
        <f t="shared" si="13"/>
        <v>0.95973921079892988</v>
      </c>
      <c r="M22" s="4">
        <f t="shared" si="13"/>
        <v>0.94774518507536798</v>
      </c>
      <c r="N22" s="4">
        <f t="shared" si="13"/>
        <v>0.93109613284869919</v>
      </c>
      <c r="O22" s="4">
        <f t="shared" si="13"/>
        <v>0.90740914270668005</v>
      </c>
      <c r="P22" s="4">
        <f t="shared" si="13"/>
        <v>0.87198252558544365</v>
      </c>
      <c r="Q22" s="4">
        <f t="shared" si="13"/>
        <v>0.77619438866588775</v>
      </c>
    </row>
    <row r="23" spans="5:19" x14ac:dyDescent="0.25">
      <c r="E23" s="10"/>
      <c r="F23" s="4" t="s">
        <v>5</v>
      </c>
      <c r="G23" s="4">
        <f>G14/G22</f>
        <v>215000</v>
      </c>
      <c r="H23" s="4">
        <f t="shared" ref="H23:Q23" si="14">H14/H22</f>
        <v>214912.70656457762</v>
      </c>
      <c r="I23" s="4">
        <f t="shared" si="14"/>
        <v>214779.76864577425</v>
      </c>
      <c r="J23" s="4">
        <f t="shared" si="14"/>
        <v>214570.79634337884</v>
      </c>
      <c r="K23" s="4">
        <f t="shared" si="14"/>
        <v>214230.24116855147</v>
      </c>
      <c r="L23" s="4">
        <f t="shared" si="14"/>
        <v>213651.45968905761</v>
      </c>
      <c r="M23" s="4">
        <f t="shared" si="14"/>
        <v>212617.15142191137</v>
      </c>
      <c r="N23" s="4">
        <f t="shared" si="14"/>
        <v>210648.45490303345</v>
      </c>
      <c r="O23" s="4">
        <f t="shared" si="14"/>
        <v>206559.85454230083</v>
      </c>
      <c r="P23" s="4">
        <f t="shared" si="14"/>
        <v>196694.05953057233</v>
      </c>
      <c r="Q23" s="13">
        <f t="shared" si="14"/>
        <v>128833.70642743066</v>
      </c>
      <c r="R23" t="s">
        <v>24</v>
      </c>
    </row>
    <row r="27" spans="5:19" x14ac:dyDescent="0.25"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5:19" x14ac:dyDescent="0.25"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5:19" x14ac:dyDescent="0.25"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5:19" x14ac:dyDescent="0.25">
      <c r="J30" s="11"/>
      <c r="K30" s="11"/>
      <c r="L30" s="12"/>
      <c r="M30" s="12"/>
      <c r="N30" s="12"/>
      <c r="O30" s="12"/>
      <c r="P30" s="12"/>
      <c r="Q30" s="12"/>
      <c r="R30" s="11"/>
      <c r="S30" s="11"/>
    </row>
    <row r="31" spans="5:19" x14ac:dyDescent="0.25">
      <c r="J31" s="11"/>
      <c r="K31" s="11"/>
      <c r="L31" s="12"/>
      <c r="M31" s="12"/>
      <c r="N31" s="12"/>
      <c r="O31" s="12"/>
      <c r="P31" s="12"/>
      <c r="Q31" s="12"/>
      <c r="R31" s="11"/>
      <c r="S31" s="11"/>
    </row>
    <row r="32" spans="5:19" x14ac:dyDescent="0.25">
      <c r="J32" s="11"/>
      <c r="K32" s="11"/>
      <c r="L32" s="12"/>
      <c r="M32" s="12"/>
      <c r="N32" s="12"/>
      <c r="O32" s="12"/>
      <c r="P32" s="12"/>
      <c r="Q32" s="12"/>
      <c r="R32" s="11"/>
      <c r="S32" s="11"/>
    </row>
    <row r="33" spans="10:19" x14ac:dyDescent="0.25">
      <c r="J33" s="12"/>
      <c r="K33" s="11"/>
      <c r="L33" s="12"/>
      <c r="M33" s="12"/>
      <c r="N33" s="12"/>
      <c r="O33" s="12"/>
      <c r="P33" s="12"/>
      <c r="Q33" s="12"/>
      <c r="R33" s="11"/>
      <c r="S33" s="11"/>
    </row>
    <row r="34" spans="10:19" x14ac:dyDescent="0.25">
      <c r="J34" s="11"/>
      <c r="K34" s="11"/>
      <c r="L34" s="11"/>
      <c r="M34" s="11"/>
      <c r="N34" s="11"/>
      <c r="O34" s="11"/>
      <c r="P34" s="11"/>
      <c r="Q34" s="11"/>
      <c r="R34" s="11"/>
      <c r="S34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Kuznetsov">
                <anchor moveWithCells="1">
                  <from>
                    <xdr:col>1</xdr:col>
                    <xdr:colOff>152400</xdr:colOff>
                    <xdr:row>21</xdr:row>
                    <xdr:rowOff>104775</xdr:rowOff>
                  </from>
                  <to>
                    <xdr:col>2</xdr:col>
                    <xdr:colOff>123825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Q26"/>
  <sheetViews>
    <sheetView workbookViewId="0">
      <selection activeCell="Y27" sqref="Y27"/>
    </sheetView>
  </sheetViews>
  <sheetFormatPr defaultRowHeight="15" x14ac:dyDescent="0.25"/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18.944273569261043</v>
      </c>
      <c r="H5" s="4">
        <v>20.990934799549731</v>
      </c>
      <c r="I5" s="4">
        <v>23.39117590643561</v>
      </c>
      <c r="J5" s="4">
        <v>26.229099930013785</v>
      </c>
      <c r="K5" s="4">
        <v>29.616995339142132</v>
      </c>
      <c r="L5" s="4">
        <v>33.705605822659749</v>
      </c>
      <c r="M5" s="4">
        <v>38.701206277730499</v>
      </c>
      <c r="N5" s="4">
        <v>44.892282061714432</v>
      </c>
      <c r="O5" s="4">
        <v>52.692499523828559</v>
      </c>
      <c r="P5" s="4">
        <v>62.712330446678678</v>
      </c>
      <c r="Q5" s="4">
        <v>75.883218512377013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104787.3603406178</v>
      </c>
      <c r="H6" s="4">
        <v>104736.44866412334</v>
      </c>
      <c r="I6" s="4">
        <v>104669.9135550607</v>
      </c>
      <c r="J6" s="4">
        <v>104581.70148547537</v>
      </c>
      <c r="K6" s="4">
        <v>104462.79332359144</v>
      </c>
      <c r="L6" s="4">
        <v>104299.48301972487</v>
      </c>
      <c r="M6" s="4">
        <v>104070.37387641847</v>
      </c>
      <c r="N6" s="4">
        <v>103741.01976956011</v>
      </c>
      <c r="O6" s="4">
        <v>103253.96574011008</v>
      </c>
      <c r="P6" s="4">
        <v>102509.34883194003</v>
      </c>
      <c r="Q6" s="4">
        <v>101325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1.1850000000000001</v>
      </c>
      <c r="H7" s="4">
        <v>1.1850000000000001</v>
      </c>
      <c r="I7" s="4">
        <v>1.1850000000000001</v>
      </c>
      <c r="J7" s="4">
        <v>1.1850000000000001</v>
      </c>
      <c r="K7" s="4">
        <v>1.1850000000000001</v>
      </c>
      <c r="L7" s="4">
        <v>1.1850000000000001</v>
      </c>
      <c r="M7" s="4">
        <v>1.1850000000000001</v>
      </c>
      <c r="N7" s="4">
        <v>1.1850000000000001</v>
      </c>
      <c r="O7" s="4">
        <v>1.1850000000000001</v>
      </c>
      <c r="P7" s="4">
        <v>1.1850000000000001</v>
      </c>
      <c r="Q7" s="4">
        <v>1.1850000000000001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105000</v>
      </c>
      <c r="F10" s="4" t="s">
        <v>14</v>
      </c>
      <c r="G10" s="5">
        <f>G4*G7*G13</f>
        <v>0.45136428030592041</v>
      </c>
      <c r="H10" s="5">
        <f>H4*H7*H13</f>
        <v>0.45136535982202247</v>
      </c>
      <c r="I10" s="5">
        <f t="shared" ref="I10:Q10" si="3">I4*I7*I13</f>
        <v>0.45142601608989436</v>
      </c>
      <c r="J10" s="5">
        <f t="shared" si="3"/>
        <v>0.45151357923153818</v>
      </c>
      <c r="K10" s="5">
        <f t="shared" si="3"/>
        <v>0.45161716988058254</v>
      </c>
      <c r="L10" s="5">
        <f t="shared" si="3"/>
        <v>0.45172477926016347</v>
      </c>
      <c r="M10" s="5">
        <f t="shared" si="3"/>
        <v>0.45182425908052332</v>
      </c>
      <c r="N10" s="5">
        <f t="shared" si="3"/>
        <v>0.45190492154445927</v>
      </c>
      <c r="O10" s="5">
        <f t="shared" si="3"/>
        <v>0.45195973029030462</v>
      </c>
      <c r="P10" s="5">
        <f t="shared" si="3"/>
        <v>0.45198769592315818</v>
      </c>
      <c r="Q10" s="5">
        <f t="shared" si="3"/>
        <v>0.45199537451195493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-1.2732348092377233E-3</v>
      </c>
      <c r="I11" s="6">
        <f t="shared" ref="I11:P11" si="4">(I13)*(I10-J10)</f>
        <v>-2.0482110433709508E-3</v>
      </c>
      <c r="J11" s="6">
        <f t="shared" si="4"/>
        <v>-2.7170981195736277E-3</v>
      </c>
      <c r="K11" s="6">
        <f t="shared" si="4"/>
        <v>-3.187075863691042E-3</v>
      </c>
      <c r="L11" s="6">
        <f t="shared" si="4"/>
        <v>-3.3530357422154357E-3</v>
      </c>
      <c r="M11" s="6">
        <f t="shared" si="4"/>
        <v>-3.1217401637776807E-3</v>
      </c>
      <c r="N11" s="6">
        <f t="shared" si="4"/>
        <v>-2.4604923851451474E-3</v>
      </c>
      <c r="O11" s="6">
        <f t="shared" si="4"/>
        <v>-1.4735799194372538E-3</v>
      </c>
      <c r="P11" s="6">
        <f t="shared" si="4"/>
        <v>-4.8154230518456062E-4</v>
      </c>
      <c r="Q11" s="2">
        <v>0</v>
      </c>
    </row>
    <row r="12" spans="2:17" x14ac:dyDescent="0.25">
      <c r="B12" s="4" t="s">
        <v>6</v>
      </c>
      <c r="C12" s="4">
        <v>101325</v>
      </c>
    </row>
    <row r="13" spans="2:17" x14ac:dyDescent="0.25">
      <c r="F13" s="4" t="s">
        <v>12</v>
      </c>
      <c r="G13" s="2">
        <f>(H4*H5*H7)/(G4*G7)</f>
        <v>18.944318656593634</v>
      </c>
      <c r="H13" s="7">
        <f t="shared" ref="H13:Q13" si="5">((G6-H6)/H7+G5*H5)^0.5</f>
        <v>20.990985003017538</v>
      </c>
      <c r="I13" s="7">
        <f t="shared" si="5"/>
        <v>23.391246646933169</v>
      </c>
      <c r="J13" s="7">
        <f t="shared" si="5"/>
        <v>26.229183277055121</v>
      </c>
      <c r="K13" s="7">
        <f t="shared" si="5"/>
        <v>29.617082415144949</v>
      </c>
      <c r="L13" s="7">
        <f t="shared" si="5"/>
        <v>33.705687546343334</v>
      </c>
      <c r="M13" s="7">
        <f t="shared" si="5"/>
        <v>38.70127456379624</v>
      </c>
      <c r="N13" s="7">
        <f t="shared" si="5"/>
        <v>44.892331455419011</v>
      </c>
      <c r="O13" s="7">
        <f t="shared" si="5"/>
        <v>52.692528974875373</v>
      </c>
      <c r="P13" s="7">
        <f t="shared" si="5"/>
        <v>62.712344407440831</v>
      </c>
      <c r="Q13" s="7">
        <f t="shared" si="5"/>
        <v>75.883225852584502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C10-(G7*G13^2)/2</f>
        <v>104787.35932845269</v>
      </c>
      <c r="H14" s="4">
        <f>H6+H11</f>
        <v>104736.44739088853</v>
      </c>
      <c r="I14" s="4">
        <f t="shared" ref="I14:Q14" si="6">I6+I11</f>
        <v>104669.91150684966</v>
      </c>
      <c r="J14" s="4">
        <f t="shared" si="6"/>
        <v>104581.69876837725</v>
      </c>
      <c r="K14" s="4">
        <f t="shared" si="6"/>
        <v>104462.79013651557</v>
      </c>
      <c r="L14" s="4">
        <f t="shared" si="6"/>
        <v>104299.47966668912</v>
      </c>
      <c r="M14" s="4">
        <f t="shared" si="6"/>
        <v>104070.3707546783</v>
      </c>
      <c r="N14" s="4">
        <f t="shared" si="6"/>
        <v>103741.01730906773</v>
      </c>
      <c r="O14" s="4">
        <f t="shared" si="6"/>
        <v>103253.96426653017</v>
      </c>
      <c r="P14" s="4">
        <f t="shared" si="6"/>
        <v>102509.34835039773</v>
      </c>
      <c r="Q14" s="2">
        <f t="shared" si="6"/>
        <v>101325</v>
      </c>
    </row>
    <row r="15" spans="2:17" x14ac:dyDescent="0.25">
      <c r="F15" s="4" t="s">
        <v>13</v>
      </c>
      <c r="G15" s="4">
        <v>1.1850000000000001</v>
      </c>
      <c r="H15" s="4">
        <v>1.1850000000000001</v>
      </c>
      <c r="I15" s="4">
        <v>1.1850000000000001</v>
      </c>
      <c r="J15" s="4">
        <v>1.1850000000000001</v>
      </c>
      <c r="K15" s="4">
        <v>1.1850000000000001</v>
      </c>
      <c r="L15" s="4">
        <v>1.1850000000000001</v>
      </c>
      <c r="M15" s="4">
        <v>1.1850000000000001</v>
      </c>
      <c r="N15" s="4">
        <v>1.1850000000000001</v>
      </c>
      <c r="O15" s="4">
        <v>1.1850000000000001</v>
      </c>
      <c r="P15" s="4">
        <v>1.1850000000000001</v>
      </c>
      <c r="Q15" s="4">
        <v>1.1850000000000001</v>
      </c>
    </row>
    <row r="17" spans="6:17" x14ac:dyDescent="0.25">
      <c r="F17" s="4" t="s">
        <v>16</v>
      </c>
      <c r="G17" s="7">
        <f>$C$11-(G13^2)/(2*$C$8)</f>
        <v>287.98134248836993</v>
      </c>
      <c r="H17" s="7">
        <f t="shared" ref="H17:Q17" si="7">$C$11-(H13^2)/(2*$C$8)</f>
        <v>287.94065439496376</v>
      </c>
      <c r="I17" s="7">
        <f t="shared" si="7"/>
        <v>287.88762324786063</v>
      </c>
      <c r="J17" s="7">
        <f t="shared" si="7"/>
        <v>287.81752187605468</v>
      </c>
      <c r="K17" s="7">
        <f t="shared" si="7"/>
        <v>287.72333553823904</v>
      </c>
      <c r="L17" s="7">
        <f t="shared" si="7"/>
        <v>287.59445172592012</v>
      </c>
      <c r="M17" s="7">
        <f t="shared" si="7"/>
        <v>287.41438637352536</v>
      </c>
      <c r="N17" s="7">
        <f t="shared" si="7"/>
        <v>287.15675357252928</v>
      </c>
      <c r="O17" s="7">
        <f t="shared" si="7"/>
        <v>286.77783024205098</v>
      </c>
      <c r="P17" s="7">
        <f t="shared" si="7"/>
        <v>286.20219527027211</v>
      </c>
      <c r="Q17" s="7">
        <f t="shared" si="7"/>
        <v>285.29348070201399</v>
      </c>
    </row>
    <row r="18" spans="6:17" x14ac:dyDescent="0.25">
      <c r="F18" s="4" t="s">
        <v>17</v>
      </c>
      <c r="G18" s="8">
        <f>SQRT($C$6*$C$7*G17)</f>
        <v>340.14646043021156</v>
      </c>
      <c r="H18" s="8">
        <f t="shared" ref="H18:Q18" si="8">SQRT($C$6*$C$7*H17)</f>
        <v>340.12243040153078</v>
      </c>
      <c r="I18" s="8">
        <f t="shared" si="8"/>
        <v>340.091108125689</v>
      </c>
      <c r="J18" s="8">
        <f t="shared" si="8"/>
        <v>340.04969907785716</v>
      </c>
      <c r="K18" s="8">
        <f t="shared" si="8"/>
        <v>339.9940550428953</v>
      </c>
      <c r="L18" s="8">
        <f t="shared" si="8"/>
        <v>339.91789744137782</v>
      </c>
      <c r="M18" s="8">
        <f t="shared" si="8"/>
        <v>339.8114680244571</v>
      </c>
      <c r="N18" s="8">
        <f t="shared" si="8"/>
        <v>339.65913360412111</v>
      </c>
      <c r="O18" s="8">
        <f t="shared" si="8"/>
        <v>339.43495768749364</v>
      </c>
      <c r="P18" s="8">
        <f t="shared" si="8"/>
        <v>339.0941210542299</v>
      </c>
      <c r="Q18" s="8">
        <f t="shared" si="8"/>
        <v>338.55536776371702</v>
      </c>
    </row>
    <row r="19" spans="6:17" x14ac:dyDescent="0.25">
      <c r="F19" s="4" t="s">
        <v>18</v>
      </c>
      <c r="G19" s="6">
        <f>G13/G18</f>
        <v>5.5694592948676215E-2</v>
      </c>
      <c r="H19" s="6">
        <f t="shared" ref="H19:Q19" si="9">H13/H18</f>
        <v>6.1715967918483584E-2</v>
      </c>
      <c r="I19" s="6">
        <f t="shared" si="9"/>
        <v>6.8779353790950515E-2</v>
      </c>
      <c r="J19" s="6">
        <f t="shared" si="9"/>
        <v>7.713338182090182E-2</v>
      </c>
      <c r="K19" s="6">
        <f t="shared" si="9"/>
        <v>8.7110589070177463E-2</v>
      </c>
      <c r="L19" s="6">
        <f t="shared" si="9"/>
        <v>9.9158319700292361E-2</v>
      </c>
      <c r="M19" s="6">
        <f t="shared" si="9"/>
        <v>0.11389043103457241</v>
      </c>
      <c r="N19" s="6">
        <f t="shared" si="9"/>
        <v>0.13216877455661721</v>
      </c>
      <c r="O19" s="6">
        <f t="shared" si="9"/>
        <v>0.15523601144048227</v>
      </c>
      <c r="P19" s="6">
        <f t="shared" si="9"/>
        <v>0.18494081882773636</v>
      </c>
      <c r="Q19" s="6">
        <f t="shared" si="9"/>
        <v>0.22413830373986146</v>
      </c>
    </row>
    <row r="23" spans="6:17" x14ac:dyDescent="0.25">
      <c r="L23" s="12"/>
      <c r="M23" s="12"/>
      <c r="N23" s="12"/>
      <c r="O23" s="12"/>
      <c r="P23" s="12"/>
      <c r="Q23" s="12"/>
    </row>
    <row r="24" spans="6:17" x14ac:dyDescent="0.25">
      <c r="L24" s="12"/>
      <c r="M24" s="12"/>
      <c r="N24" s="12"/>
      <c r="O24" s="12"/>
      <c r="P24" s="12"/>
      <c r="Q24" s="12"/>
    </row>
    <row r="25" spans="6:17" x14ac:dyDescent="0.25">
      <c r="L25" s="12"/>
      <c r="M25" s="12"/>
      <c r="N25" s="12"/>
      <c r="O25" s="12"/>
      <c r="P25" s="12"/>
      <c r="Q25" s="12"/>
    </row>
    <row r="26" spans="6:17" x14ac:dyDescent="0.25">
      <c r="L26" s="12"/>
      <c r="M26" s="12"/>
      <c r="N26" s="12"/>
      <c r="O26" s="12"/>
      <c r="P26" s="12"/>
      <c r="Q26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Kuznetsov">
                <anchor moveWithCells="1">
                  <from>
                    <xdr:col>1</xdr:col>
                    <xdr:colOff>219075</xdr:colOff>
                    <xdr:row>17</xdr:row>
                    <xdr:rowOff>104775</xdr:rowOff>
                  </from>
                  <to>
                    <xdr:col>2</xdr:col>
                    <xdr:colOff>190500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Q33"/>
  <sheetViews>
    <sheetView workbookViewId="0">
      <selection activeCell="D25" sqref="D25"/>
    </sheetView>
  </sheetViews>
  <sheetFormatPr defaultRowHeight="15" x14ac:dyDescent="0.25"/>
  <sheetData>
    <row r="1" spans="2:17" x14ac:dyDescent="0.25">
      <c r="F1" s="4" t="s">
        <v>9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 x14ac:dyDescent="0.25">
      <c r="F2" s="4" t="s">
        <v>10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4" t="s">
        <v>0</v>
      </c>
      <c r="C3" s="4">
        <v>0.1</v>
      </c>
      <c r="F3" s="4" t="s">
        <v>3</v>
      </c>
      <c r="G3" s="1">
        <v>0.08</v>
      </c>
      <c r="H3" s="4">
        <f>G3+($Q$3-$G$3)/10</f>
        <v>7.5999999999999998E-2</v>
      </c>
      <c r="I3" s="4">
        <f t="shared" ref="I3:P3" si="1">H3+($Q$3-$G$3)/10</f>
        <v>7.1999999999999995E-2</v>
      </c>
      <c r="J3" s="4">
        <f t="shared" si="1"/>
        <v>6.7999999999999991E-2</v>
      </c>
      <c r="K3" s="4">
        <f t="shared" si="1"/>
        <v>6.3999999999999987E-2</v>
      </c>
      <c r="L3" s="4">
        <f t="shared" si="1"/>
        <v>5.9999999999999984E-2</v>
      </c>
      <c r="M3" s="4">
        <f t="shared" si="1"/>
        <v>5.599999999999998E-2</v>
      </c>
      <c r="N3" s="4">
        <f t="shared" si="1"/>
        <v>5.1999999999999977E-2</v>
      </c>
      <c r="O3" s="4">
        <f t="shared" si="1"/>
        <v>4.7999999999999973E-2</v>
      </c>
      <c r="P3" s="4">
        <f t="shared" si="1"/>
        <v>4.399999999999997E-2</v>
      </c>
      <c r="Q3" s="1">
        <v>0.04</v>
      </c>
    </row>
    <row r="4" spans="2:17" x14ac:dyDescent="0.25">
      <c r="B4" s="4" t="s">
        <v>1</v>
      </c>
      <c r="C4" s="4">
        <f>C3/10</f>
        <v>0.01</v>
      </c>
      <c r="F4" s="4" t="s">
        <v>11</v>
      </c>
      <c r="G4" s="5">
        <f>(PI()*(2*G3)^2)/4</f>
        <v>2.0106192982974676E-2</v>
      </c>
      <c r="H4" s="5">
        <f t="shared" ref="H4:Q4" si="2">(PI()*(2*H3)^2)/4</f>
        <v>1.8145839167134643E-2</v>
      </c>
      <c r="I4" s="5">
        <f t="shared" si="2"/>
        <v>1.6286016316209486E-2</v>
      </c>
      <c r="J4" s="5">
        <f t="shared" si="2"/>
        <v>1.4526724430199199E-2</v>
      </c>
      <c r="K4" s="5">
        <f t="shared" si="2"/>
        <v>1.2867963509103787E-2</v>
      </c>
      <c r="L4" s="5">
        <f t="shared" si="2"/>
        <v>1.1309733552923249E-2</v>
      </c>
      <c r="M4" s="5">
        <f t="shared" si="2"/>
        <v>9.8520345616575841E-3</v>
      </c>
      <c r="N4" s="5">
        <f t="shared" si="2"/>
        <v>8.4948665353067939E-3</v>
      </c>
      <c r="O4" s="5">
        <f t="shared" si="2"/>
        <v>7.2382294738708754E-3</v>
      </c>
      <c r="P4" s="5">
        <f t="shared" si="2"/>
        <v>6.0821233773498311E-3</v>
      </c>
      <c r="Q4" s="5">
        <f t="shared" si="2"/>
        <v>5.0265482457436689E-3</v>
      </c>
    </row>
    <row r="5" spans="2:17" x14ac:dyDescent="0.25">
      <c r="F5" s="4" t="s">
        <v>12</v>
      </c>
      <c r="G5" s="4">
        <v>17.965677749011054</v>
      </c>
      <c r="H5" s="4">
        <v>19.913413805299584</v>
      </c>
      <c r="I5" s="4">
        <v>22.200045404994878</v>
      </c>
      <c r="J5" s="4">
        <v>24.90816735873263</v>
      </c>
      <c r="K5" s="4">
        <v>28.148271200498691</v>
      </c>
      <c r="L5" s="4">
        <v>32.070248179569305</v>
      </c>
      <c r="M5" s="4">
        <v>36.882190050039029</v>
      </c>
      <c r="N5" s="4">
        <v>42.881135090875794</v>
      </c>
      <c r="O5" s="4">
        <v>50.505904672857866</v>
      </c>
      <c r="P5" s="4">
        <v>60.433923409349447</v>
      </c>
      <c r="Q5" s="4">
        <v>73.774957760448117</v>
      </c>
    </row>
    <row r="6" spans="2:17" x14ac:dyDescent="0.25">
      <c r="B6" s="4" t="s">
        <v>2</v>
      </c>
      <c r="C6" s="4">
        <v>1.4</v>
      </c>
      <c r="F6" s="4" t="s">
        <v>6</v>
      </c>
      <c r="G6" s="4">
        <v>104795.37046284738</v>
      </c>
      <c r="H6" s="4">
        <v>104746.20531791639</v>
      </c>
      <c r="I6" s="4">
        <v>104681.8857714749</v>
      </c>
      <c r="J6" s="4">
        <v>104596.46859521579</v>
      </c>
      <c r="K6" s="4">
        <v>104481.07197642179</v>
      </c>
      <c r="L6" s="4">
        <v>104322.10705669131</v>
      </c>
      <c r="M6" s="4">
        <v>104098.16192725667</v>
      </c>
      <c r="N6" s="4">
        <v>103774.30941407706</v>
      </c>
      <c r="O6" s="4">
        <v>103291.16099902632</v>
      </c>
      <c r="P6" s="4">
        <v>102542.43320918738</v>
      </c>
      <c r="Q6" s="4">
        <v>101325</v>
      </c>
    </row>
    <row r="7" spans="2:17" x14ac:dyDescent="0.25">
      <c r="B7" s="4" t="s">
        <v>3</v>
      </c>
      <c r="C7" s="4">
        <v>286.97199999999998</v>
      </c>
      <c r="F7" s="4" t="s">
        <v>13</v>
      </c>
      <c r="G7" s="4">
        <v>1.2679762066181028</v>
      </c>
      <c r="H7" s="4">
        <v>1.2675429764889037</v>
      </c>
      <c r="I7" s="4">
        <v>1.2669755575208037</v>
      </c>
      <c r="J7" s="4">
        <v>1.266221046615267</v>
      </c>
      <c r="K7" s="4">
        <v>1.2652002232214405</v>
      </c>
      <c r="L7" s="4">
        <v>1.2637915969220439</v>
      </c>
      <c r="M7" s="4">
        <v>1.2618031955055427</v>
      </c>
      <c r="N7" s="4">
        <v>1.2589207925658019</v>
      </c>
      <c r="O7" s="4">
        <v>1.2546077778956615</v>
      </c>
      <c r="P7" s="4">
        <v>1.2478984257538666</v>
      </c>
      <c r="Q7" s="4">
        <v>1.2369330813723052</v>
      </c>
    </row>
    <row r="8" spans="2:17" x14ac:dyDescent="0.25">
      <c r="B8" s="4" t="s">
        <v>4</v>
      </c>
      <c r="C8" s="4">
        <v>1004.4</v>
      </c>
    </row>
    <row r="10" spans="2:17" x14ac:dyDescent="0.25">
      <c r="B10" s="4" t="s">
        <v>5</v>
      </c>
      <c r="C10" s="4">
        <v>105000</v>
      </c>
      <c r="F10" s="4" t="s">
        <v>14</v>
      </c>
      <c r="G10" s="5">
        <f t="shared" ref="G10:Q10" si="3">G4*G7*G13</f>
        <v>0.45802108266294694</v>
      </c>
      <c r="H10" s="5">
        <f t="shared" si="3"/>
        <v>0.45802205274429714</v>
      </c>
      <c r="I10" s="5">
        <f t="shared" si="3"/>
        <v>0.45807673534866261</v>
      </c>
      <c r="J10" s="5">
        <f t="shared" si="3"/>
        <v>0.45816340495744534</v>
      </c>
      <c r="K10" s="5">
        <f t="shared" si="3"/>
        <v>0.45827075232910464</v>
      </c>
      <c r="L10" s="5">
        <f t="shared" si="3"/>
        <v>0.45838593888599438</v>
      </c>
      <c r="M10" s="5">
        <f t="shared" si="3"/>
        <v>0.45849551753028378</v>
      </c>
      <c r="N10" s="5">
        <f t="shared" si="3"/>
        <v>0.45858704157640262</v>
      </c>
      <c r="O10" s="5">
        <f t="shared" si="3"/>
        <v>0.4586514358057997</v>
      </c>
      <c r="P10" s="5">
        <f t="shared" si="3"/>
        <v>0.45868587055653737</v>
      </c>
      <c r="Q10" s="5">
        <f t="shared" si="3"/>
        <v>0.4586961256338285</v>
      </c>
    </row>
    <row r="11" spans="2:17" x14ac:dyDescent="0.25">
      <c r="B11" s="4" t="s">
        <v>7</v>
      </c>
      <c r="C11" s="4">
        <v>288.16000000000003</v>
      </c>
      <c r="F11" s="4" t="s">
        <v>15</v>
      </c>
      <c r="G11" s="6">
        <v>0</v>
      </c>
      <c r="H11" s="6">
        <f>(H13)*(H10-I10)</f>
        <v>-1.0889196349907187E-3</v>
      </c>
      <c r="I11" s="6">
        <f t="shared" ref="I11:P11" si="4">(I13)*(I10-J10)</f>
        <v>-1.9240748799069811E-3</v>
      </c>
      <c r="J11" s="6">
        <f t="shared" si="4"/>
        <v>-2.6738348971043738E-3</v>
      </c>
      <c r="K11" s="6">
        <f t="shared" si="4"/>
        <v>-3.242312397185585E-3</v>
      </c>
      <c r="L11" s="6">
        <f t="shared" si="4"/>
        <v>-3.5142234567933513E-3</v>
      </c>
      <c r="M11" s="6">
        <f t="shared" si="4"/>
        <v>-3.3756138165896474E-3</v>
      </c>
      <c r="N11" s="6">
        <f t="shared" si="4"/>
        <v>-2.7613010784255558E-3</v>
      </c>
      <c r="O11" s="6">
        <f t="shared" si="4"/>
        <v>-1.7391593581165643E-3</v>
      </c>
      <c r="P11" s="6">
        <f t="shared" si="4"/>
        <v>-6.1975471239774076E-4</v>
      </c>
      <c r="Q11" s="2">
        <v>0</v>
      </c>
    </row>
    <row r="12" spans="2:17" x14ac:dyDescent="0.25">
      <c r="B12" s="4" t="s">
        <v>6</v>
      </c>
      <c r="C12" s="4">
        <v>101325</v>
      </c>
    </row>
    <row r="13" spans="2:17" x14ac:dyDescent="0.25">
      <c r="F13" s="4" t="s">
        <v>12</v>
      </c>
      <c r="G13" s="2">
        <f>(H4*H5*H7)/(G4*G7)</f>
        <v>17.96571550535436</v>
      </c>
      <c r="H13" s="7">
        <f t="shared" ref="H13:P13" si="5">((G6-H6)/H7+G5*H5)^0.5</f>
        <v>19.913455981592517</v>
      </c>
      <c r="I13" s="7">
        <f t="shared" si="5"/>
        <v>22.200110360834749</v>
      </c>
      <c r="J13" s="7">
        <f t="shared" si="5"/>
        <v>24.908247456591255</v>
      </c>
      <c r="K13" s="7">
        <f t="shared" si="5"/>
        <v>28.148357627262506</v>
      </c>
      <c r="L13" s="7">
        <f t="shared" si="5"/>
        <v>32.070331583152644</v>
      </c>
      <c r="M13" s="7">
        <f t="shared" si="5"/>
        <v>36.882261654019779</v>
      </c>
      <c r="N13" s="7">
        <f t="shared" si="5"/>
        <v>42.881188334412563</v>
      </c>
      <c r="O13" s="7">
        <f t="shared" si="5"/>
        <v>50.505937196002144</v>
      </c>
      <c r="P13" s="7">
        <f t="shared" si="5"/>
        <v>60.433938702113757</v>
      </c>
      <c r="Q13" s="7">
        <f>((P6-Q6)/Q7+P5*Q5)^0.5</f>
        <v>73.774964942658258</v>
      </c>
    </row>
    <row r="14" spans="2:17" x14ac:dyDescent="0.25">
      <c r="B14" s="4" t="s">
        <v>8</v>
      </c>
      <c r="C14" s="4">
        <v>2000</v>
      </c>
      <c r="F14" s="4" t="s">
        <v>6</v>
      </c>
      <c r="G14" s="3">
        <f>C10-(G7*G13^2)/2</f>
        <v>104795.36960394381</v>
      </c>
      <c r="H14" s="9">
        <f>H6+H11</f>
        <v>104746.20422899675</v>
      </c>
      <c r="I14" s="9">
        <f t="shared" ref="I14:Q14" si="6">I6+I11</f>
        <v>104681.88384740002</v>
      </c>
      <c r="J14" s="9">
        <f t="shared" si="6"/>
        <v>104596.46592138089</v>
      </c>
      <c r="K14" s="9">
        <f t="shared" si="6"/>
        <v>104481.0687341094</v>
      </c>
      <c r="L14" s="9">
        <f t="shared" si="6"/>
        <v>104322.10354246786</v>
      </c>
      <c r="M14" s="9">
        <f t="shared" si="6"/>
        <v>104098.15855164286</v>
      </c>
      <c r="N14" s="9">
        <f t="shared" si="6"/>
        <v>103774.30665277598</v>
      </c>
      <c r="O14" s="9">
        <f t="shared" si="6"/>
        <v>103291.15925986697</v>
      </c>
      <c r="P14" s="9">
        <f t="shared" si="6"/>
        <v>102542.43258943266</v>
      </c>
      <c r="Q14" s="9">
        <f t="shared" si="6"/>
        <v>101325</v>
      </c>
    </row>
    <row r="15" spans="2:17" x14ac:dyDescent="0.25">
      <c r="F15" s="4" t="s">
        <v>13</v>
      </c>
      <c r="G15" s="4">
        <f>G14/($C$7*G17)</f>
        <v>1.2679761991991174</v>
      </c>
      <c r="H15" s="4">
        <f t="shared" ref="H15:Q15" si="7">H14/($C$7*H17)</f>
        <v>1.267542966992526</v>
      </c>
      <c r="I15" s="4">
        <f t="shared" si="7"/>
        <v>1.2669755405513954</v>
      </c>
      <c r="J15" s="4">
        <f t="shared" si="7"/>
        <v>1.2662210229841522</v>
      </c>
      <c r="K15" s="4">
        <f t="shared" si="7"/>
        <v>1.2652001946082072</v>
      </c>
      <c r="L15" s="4">
        <f t="shared" si="7"/>
        <v>1.2637915660498549</v>
      </c>
      <c r="M15" s="4">
        <f t="shared" si="7"/>
        <v>1.2618031661293456</v>
      </c>
      <c r="N15" s="4">
        <f t="shared" si="7"/>
        <v>1.2589207690301487</v>
      </c>
      <c r="O15" s="4">
        <f t="shared" si="7"/>
        <v>1.2546077639231541</v>
      </c>
      <c r="P15" s="4">
        <f t="shared" si="7"/>
        <v>1.2478984222218048</v>
      </c>
      <c r="Q15" s="4">
        <f t="shared" si="7"/>
        <v>1.2369330836583028</v>
      </c>
    </row>
    <row r="17" spans="6:17" x14ac:dyDescent="0.25">
      <c r="F17" s="4" t="s">
        <v>16</v>
      </c>
      <c r="G17" s="7">
        <f>$C$11-(G13^2)/(2*$C$8)</f>
        <v>287.99932350974746</v>
      </c>
      <c r="H17" s="7">
        <f t="shared" ref="H17:Q17" si="8">$C$11-(H13^2)/(2*$C$8)</f>
        <v>287.96259571429175</v>
      </c>
      <c r="I17" s="7">
        <f t="shared" si="8"/>
        <v>287.91465705892415</v>
      </c>
      <c r="J17" s="7">
        <f t="shared" si="8"/>
        <v>287.85114855069759</v>
      </c>
      <c r="K17" s="7">
        <f t="shared" si="8"/>
        <v>287.76557047136987</v>
      </c>
      <c r="L17" s="7">
        <f t="shared" si="8"/>
        <v>287.64799971731713</v>
      </c>
      <c r="M17" s="7">
        <f t="shared" si="8"/>
        <v>287.4828289403049</v>
      </c>
      <c r="N17" s="7">
        <f t="shared" si="8"/>
        <v>287.24462947382949</v>
      </c>
      <c r="O17" s="7">
        <f t="shared" si="8"/>
        <v>286.89016243924408</v>
      </c>
      <c r="P17" s="7">
        <f t="shared" si="8"/>
        <v>286.34186930154777</v>
      </c>
      <c r="Q17" s="7">
        <f t="shared" si="8"/>
        <v>285.45054885887572</v>
      </c>
    </row>
    <row r="18" spans="6:17" x14ac:dyDescent="0.25">
      <c r="F18" s="4" t="s">
        <v>17</v>
      </c>
      <c r="G18" s="8">
        <f>SQRT($C$6*$C$7*G17)</f>
        <v>340.15707932179646</v>
      </c>
      <c r="H18" s="8">
        <f t="shared" ref="H18:Q18" si="9">SQRT($C$6*$C$7*H17)</f>
        <v>340.13538896188152</v>
      </c>
      <c r="I18" s="8">
        <f t="shared" si="9"/>
        <v>340.10707571545612</v>
      </c>
      <c r="J18" s="8">
        <f t="shared" si="9"/>
        <v>340.06956306415765</v>
      </c>
      <c r="K18" s="8">
        <f t="shared" si="9"/>
        <v>340.01900800548481</v>
      </c>
      <c r="L18" s="8">
        <f t="shared" si="9"/>
        <v>339.94954108636341</v>
      </c>
      <c r="M18" s="8">
        <f t="shared" si="9"/>
        <v>339.85192561072836</v>
      </c>
      <c r="N18" s="8">
        <f t="shared" si="9"/>
        <v>339.71110098598382</v>
      </c>
      <c r="O18" s="8">
        <f t="shared" si="9"/>
        <v>339.50143029701752</v>
      </c>
      <c r="P18" s="8">
        <f t="shared" si="9"/>
        <v>339.1768542870891</v>
      </c>
      <c r="Q18" s="8">
        <f t="shared" si="9"/>
        <v>338.64855066865556</v>
      </c>
    </row>
    <row r="19" spans="6:17" x14ac:dyDescent="0.25">
      <c r="F19" s="4" t="s">
        <v>18</v>
      </c>
      <c r="G19" s="6">
        <f>G13/G18</f>
        <v>5.2815938863228475E-2</v>
      </c>
      <c r="H19" s="6">
        <f t="shared" ref="H19:P19" si="10">H13/H18</f>
        <v>5.8545675127689191E-2</v>
      </c>
      <c r="I19" s="6">
        <f t="shared" si="10"/>
        <v>6.5273885625972791E-2</v>
      </c>
      <c r="J19" s="6">
        <f t="shared" si="10"/>
        <v>7.3244565706375955E-2</v>
      </c>
      <c r="K19" s="6">
        <f t="shared" si="10"/>
        <v>8.2784658988265883E-2</v>
      </c>
      <c r="L19" s="6">
        <f t="shared" si="10"/>
        <v>9.4338505298953323E-2</v>
      </c>
      <c r="M19" s="6">
        <f t="shared" si="10"/>
        <v>0.10852450398137596</v>
      </c>
      <c r="N19" s="6">
        <f t="shared" si="10"/>
        <v>0.12622839880696687</v>
      </c>
      <c r="O19" s="6">
        <f t="shared" si="10"/>
        <v>0.14876502037654546</v>
      </c>
      <c r="P19" s="6">
        <f t="shared" si="10"/>
        <v>0.17817825107535409</v>
      </c>
      <c r="Q19" s="6">
        <f>Q13/Q18</f>
        <v>0.21785111673146362</v>
      </c>
    </row>
    <row r="20" spans="6:17" x14ac:dyDescent="0.25">
      <c r="F20" s="4" t="s">
        <v>19</v>
      </c>
      <c r="G20" s="4">
        <f>1-((($C$6-1)/($C$6+1))*G21^2)</f>
        <v>0.9994451906278492</v>
      </c>
      <c r="H20" s="4">
        <f t="shared" ref="H20:Q20" si="11">1-((($C$6-1)/($C$6+1))*H21^2)</f>
        <v>0.99931914815499334</v>
      </c>
      <c r="I20" s="4">
        <f t="shared" si="11"/>
        <v>0.99915506397534504</v>
      </c>
      <c r="J20" s="4">
        <f t="shared" si="11"/>
        <v>0.99893843679612382</v>
      </c>
      <c r="K20" s="4">
        <f t="shared" si="11"/>
        <v>0.99864787310904413</v>
      </c>
      <c r="L20" s="4">
        <f t="shared" si="11"/>
        <v>0.99825117746287018</v>
      </c>
      <c r="M20" s="4">
        <f t="shared" si="11"/>
        <v>0.99769869398315969</v>
      </c>
      <c r="N20" s="4">
        <f t="shared" si="11"/>
        <v>0.99691169398586221</v>
      </c>
      <c r="O20" s="4">
        <f t="shared" si="11"/>
        <v>0.99576140279709935</v>
      </c>
      <c r="P20" s="4">
        <f t="shared" si="11"/>
        <v>0.9940295930298334</v>
      </c>
      <c r="Q20" s="4">
        <f t="shared" si="11"/>
        <v>0.99133102212098823</v>
      </c>
    </row>
    <row r="21" spans="6:17" x14ac:dyDescent="0.25">
      <c r="F21" s="4" t="s">
        <v>21</v>
      </c>
      <c r="G21" s="4">
        <f>SQRT(((($C$6+1)/2)*G19^2)/(1+2*G19^2))</f>
        <v>5.7696241063908013E-2</v>
      </c>
      <c r="H21" s="4">
        <f>SQRT(((($C$6+1)/2)*H19^2)/(1+2*H19^2))</f>
        <v>6.3914873621400858E-2</v>
      </c>
      <c r="I21" s="4">
        <f t="shared" ref="I21:Q21" si="12">SQRT(((($C$6+1)/2)*I19^2)/(1+2*I19^2))</f>
        <v>7.1201236983141639E-2</v>
      </c>
      <c r="J21" s="4">
        <f t="shared" si="12"/>
        <v>7.9808390682038655E-2</v>
      </c>
      <c r="K21" s="4">
        <f t="shared" si="12"/>
        <v>9.007086846331129E-2</v>
      </c>
      <c r="L21" s="4">
        <f t="shared" si="12"/>
        <v>0.10243502927601809</v>
      </c>
      <c r="M21" s="4">
        <f t="shared" si="12"/>
        <v>0.11750674917229943</v>
      </c>
      <c r="N21" s="4">
        <f t="shared" si="12"/>
        <v>0.13612434053036448</v>
      </c>
      <c r="O21" s="4">
        <f t="shared" si="12"/>
        <v>0.15947282908823032</v>
      </c>
      <c r="P21" s="4">
        <f t="shared" si="12"/>
        <v>0.18926817434793303</v>
      </c>
      <c r="Q21" s="4">
        <f t="shared" si="12"/>
        <v>0.22806548900276599</v>
      </c>
    </row>
    <row r="22" spans="6:17" x14ac:dyDescent="0.25">
      <c r="F22" s="4" t="s">
        <v>20</v>
      </c>
      <c r="G22" s="4">
        <f>(1-((($C$6-1)/($C$6+1))*G21^2))^($C$6/($C$6-1))</f>
        <v>0.99805951350771915</v>
      </c>
      <c r="H22" s="4">
        <f t="shared" ref="H22:Q22" si="13">(1-((($C$6-1)/($C$6+1))*H21^2))^($C$6/($C$6-1))</f>
        <v>0.99761904592377981</v>
      </c>
      <c r="I22" s="4">
        <f t="shared" si="13"/>
        <v>0.99704584598069135</v>
      </c>
      <c r="J22" s="4">
        <f t="shared" si="13"/>
        <v>0.99628945642929645</v>
      </c>
      <c r="K22" s="4">
        <f t="shared" si="13"/>
        <v>0.99527554905621063</v>
      </c>
      <c r="L22" s="4">
        <f t="shared" si="13"/>
        <v>0.99389248983628464</v>
      </c>
      <c r="M22" s="4">
        <f t="shared" si="13"/>
        <v>0.99196857232910385</v>
      </c>
      <c r="N22" s="4">
        <f t="shared" si="13"/>
        <v>0.98923259169120825</v>
      </c>
      <c r="O22" s="4">
        <f t="shared" si="13"/>
        <v>0.98524334326618301</v>
      </c>
      <c r="P22" s="4">
        <f t="shared" si="13"/>
        <v>0.97925906060631596</v>
      </c>
      <c r="Q22" s="4">
        <f t="shared" si="13"/>
        <v>0.96998594024949014</v>
      </c>
    </row>
    <row r="23" spans="6:17" x14ac:dyDescent="0.25">
      <c r="F23" s="4" t="s">
        <v>5</v>
      </c>
      <c r="G23" s="4">
        <f>G14/G22</f>
        <v>104999.11897601816</v>
      </c>
      <c r="H23" s="4">
        <f t="shared" ref="H23:Q23" si="14">H14/H22</f>
        <v>104996.19534829889</v>
      </c>
      <c r="I23" s="4">
        <f t="shared" si="14"/>
        <v>104992.04652363325</v>
      </c>
      <c r="J23" s="4">
        <f t="shared" si="14"/>
        <v>104986.02112708775</v>
      </c>
      <c r="K23" s="4">
        <f t="shared" si="14"/>
        <v>104977.02755099892</v>
      </c>
      <c r="L23" s="4">
        <f t="shared" si="14"/>
        <v>104963.16715266854</v>
      </c>
      <c r="M23" s="4">
        <f t="shared" si="14"/>
        <v>104940.9844781921</v>
      </c>
      <c r="N23" s="4">
        <f t="shared" si="14"/>
        <v>104903.84923060585</v>
      </c>
      <c r="O23" s="4">
        <f t="shared" si="14"/>
        <v>104838.22089824647</v>
      </c>
      <c r="P23" s="4">
        <f t="shared" si="14"/>
        <v>104714.30565671019</v>
      </c>
      <c r="Q23" s="4">
        <f t="shared" si="14"/>
        <v>104460.27699529148</v>
      </c>
    </row>
    <row r="30" spans="6:17" x14ac:dyDescent="0.25">
      <c r="L30" s="12"/>
      <c r="M30" s="12"/>
      <c r="N30" s="12"/>
      <c r="O30" s="12"/>
      <c r="P30" s="12"/>
      <c r="Q30" s="12"/>
    </row>
    <row r="31" spans="6:17" x14ac:dyDescent="0.25">
      <c r="L31" s="12"/>
      <c r="M31" s="12"/>
      <c r="N31" s="12"/>
      <c r="O31" s="12"/>
      <c r="P31" s="12"/>
      <c r="Q31" s="12"/>
    </row>
    <row r="32" spans="6:17" x14ac:dyDescent="0.25">
      <c r="L32" s="12"/>
      <c r="M32" s="12"/>
      <c r="N32" s="12"/>
      <c r="O32" s="12"/>
      <c r="P32" s="12"/>
      <c r="Q32" s="12"/>
    </row>
    <row r="33" spans="12:17" x14ac:dyDescent="0.25">
      <c r="L33" s="12"/>
      <c r="M33" s="12"/>
      <c r="N33" s="12"/>
      <c r="O33" s="12"/>
      <c r="P33" s="12"/>
      <c r="Q33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Kuznetsov">
                <anchor moveWithCells="1">
                  <from>
                    <xdr:col>1</xdr:col>
                    <xdr:colOff>361950</xdr:colOff>
                    <xdr:row>19</xdr:row>
                    <xdr:rowOff>180975</xdr:rowOff>
                  </from>
                  <to>
                    <xdr:col>2</xdr:col>
                    <xdr:colOff>333375</xdr:colOff>
                    <xdr:row>21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ro_const_p_215</vt:lpstr>
      <vt:lpstr>ro_var_p_215</vt:lpstr>
      <vt:lpstr>ro_const_p_105</vt:lpstr>
      <vt:lpstr>ro_var_p_105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2021-04-16T09:49:58Z</dcterms:created>
  <dcterms:modified xsi:type="dcterms:W3CDTF">2021-05-23T07:26:38Z</dcterms:modified>
</cp:coreProperties>
</file>