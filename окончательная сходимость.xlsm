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 activeTab="1"/>
  </bookViews>
  <sheets>
    <sheet name="ro_const_p_215" sheetId="1" r:id="rId1"/>
    <sheet name="ro_var_p_215" sheetId="2" r:id="rId2"/>
    <sheet name="ro_const_p_105" sheetId="3" r:id="rId3"/>
    <sheet name="ro_var_p_105" sheetId="4" r:id="rId4"/>
  </sheet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H11" i="2" s="1"/>
  <c r="H14" i="2" s="1"/>
  <c r="H15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14" i="2" s="1"/>
  <c r="G15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O11" i="2" l="1"/>
  <c r="O14" i="2" s="1"/>
  <c r="O15" i="2" s="1"/>
  <c r="M15" i="2"/>
  <c r="M23" i="2"/>
  <c r="P15" i="2"/>
  <c r="P23" i="2"/>
  <c r="N11" i="2"/>
  <c r="N14" i="2" s="1"/>
  <c r="O23" i="2" l="1"/>
  <c r="N15" i="2"/>
  <c r="N23" i="2"/>
  <c r="G23" i="2" l="1"/>
  <c r="W37" i="2" l="1"/>
  <c r="AG37" i="2"/>
  <c r="X37" i="2"/>
  <c r="Y37" i="2"/>
  <c r="Z37" i="2"/>
  <c r="AA37" i="2"/>
  <c r="AB37" i="2"/>
  <c r="AC37" i="2"/>
  <c r="AF37" i="2"/>
  <c r="AE37" i="2"/>
  <c r="AD37" i="2"/>
  <c r="W36" i="2"/>
  <c r="W35" i="2"/>
  <c r="W34" i="2"/>
  <c r="W33" i="2"/>
  <c r="W32" i="2"/>
  <c r="W31" i="2"/>
</calcChain>
</file>

<file path=xl/sharedStrings.xml><?xml version="1.0" encoding="utf-8"?>
<sst xmlns="http://schemas.openxmlformats.org/spreadsheetml/2006/main" count="121" uniqueCount="31">
  <si>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</si>
  <si>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</si>
  <si>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</si>
  <si>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</si>
  <si>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</si>
  <si>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</si>
  <si>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</si>
  <si>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</si>
  <si>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</si>
  <si>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</si>
  <si>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</si>
  <si>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</si>
  <si>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</si>
  <si>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</si>
  <si>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</si>
  <si>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</si>
  <si>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</si>
  <si>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</si>
  <si>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</si>
  <si>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</si>
  <si>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Pi_lamda</t>
  </si>
  <si>
    <t>lamda</t>
  </si>
  <si>
    <t>с</t>
  </si>
  <si>
    <t>а</t>
  </si>
  <si>
    <t>потери слишком большие?</t>
  </si>
  <si>
    <t>3D</t>
  </si>
  <si>
    <t>Чтобы добиться в этом расчете 1.5 маха нужно сильнее увеличить полное давление, но тогда задачи будут сильно отличаться</t>
  </si>
  <si>
    <t>Шаг</t>
  </si>
  <si>
    <t>σ</t>
  </si>
  <si>
    <t>Сходимости</t>
  </si>
  <si>
    <t>shag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</si>
</sst>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0" xfId="0" applyFill="1"/>
    <xf numFmtId="0" fontId="0" fillId="0" borderId="0" xfId="0" applyBorder="1"/>
    <xf numFmtId="0" fontId="0" fillId="4" borderId="0" xfId="0" applyFill="1" applyBorder="1"/>
    <xf numFmtId="0" fontId="0" fillId="6" borderId="1" xfId="0" applyFill="1" applyBorder="1"/>
    <xf numFmtId="2" fontId="0" fillId="7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166" fontId="0" fillId="0" borderId="0" xfId="0" applyNumberFormat="1" applyBorder="1"/>
    <xf numFmtId="2" fontId="0" fillId="0" borderId="0" xfId="0" applyNumberFormat="1" applyBorder="1"/>
    <xf numFmtId="2" fontId="0" fillId="0" borderId="0" xfId="0" applyNumberFormat="1" applyFill="1" applyBorder="1"/>
    <xf numFmtId="2" fontId="0" fillId="0" borderId="0" xfId="0" applyNumberFormat="1"/>
    <xf numFmtId="165" fontId="0" fillId="0" borderId="1" xfId="0" applyNumberFormat="1" applyBorder="1"/>
    <xf numFmtId="167" fontId="0" fillId="0" borderId="1" xfId="0" applyNumberFormat="1" applyBorder="1"/>
    <xf numFmtId="167" fontId="0" fillId="0" borderId="0" xfId="0" applyNumberFormat="1" applyBorder="1"/>
    <xf numFmtId="167" fontId="2" fillId="0" borderId="1" xfId="0" applyNumberFormat="1" applyFont="1" applyBorder="1"/>
    <xf numFmtId="165" fontId="0" fillId="0" borderId="0" xfId="0" applyNumberFormat="1" applyBorder="1"/>
    <xf numFmtId="167" fontId="2" fillId="0" borderId="0" xfId="0" applyNumberFormat="1" applyFont="1" applyBorder="1"/>
    <xf numFmtId="167" fontId="0" fillId="0" borderId="1" xfId="0" applyNumberFormat="1" applyFont="1" applyFill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95800"/>
        <c:axId val="454537424"/>
      </c:lineChart>
      <c:catAx>
        <c:axId val="455495800"/>
        <c:scaling>
          <c:orientation val="minMax"/>
        </c:scaling>
        <c:delete val="0"/>
        <c:axPos val="b"/>
        <c:majorTickMark val="out"/>
        <c:minorTickMark val="none"/>
        <c:tickLblPos val="nextTo"/>
        <c:crossAx val="454537424"/>
        <c:crosses val="autoZero"/>
        <c:auto val="1"/>
        <c:lblAlgn val="ctr"/>
        <c:lblOffset val="100"/>
        <c:noMultiLvlLbl val="0"/>
      </c:catAx>
      <c:valAx>
        <c:axId val="45453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4958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ro_const_p_215!$G$10:$Q$10</c:f>
              <c:numCache>
                <c:formatCode>0.000</c:formatCode>
                <c:ptCount val="11"/>
                <c:pt idx="0">
                  <c:v>2.5257722651690222</c:v>
                </c:pt>
                <c:pt idx="1">
                  <c:v>2.5257781221733611</c:v>
                </c:pt>
                <c:pt idx="2">
                  <c:v>2.5261053581333432</c:v>
                </c:pt>
                <c:pt idx="3">
                  <c:v>2.5265173633137388</c:v>
                </c:pt>
                <c:pt idx="4">
                  <c:v>2.5269714848570279</c:v>
                </c:pt>
                <c:pt idx="5">
                  <c:v>2.5274218902139118</c:v>
                </c:pt>
                <c:pt idx="6">
                  <c:v>2.5278236876508027</c:v>
                </c:pt>
                <c:pt idx="7">
                  <c:v>2.5281392573431978</c:v>
                </c:pt>
                <c:pt idx="8">
                  <c:v>2.5283465364940381</c:v>
                </c:pt>
                <c:pt idx="9">
                  <c:v>2.5284475286754851</c:v>
                </c:pt>
                <c:pt idx="10">
                  <c:v>2.528472593012848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29760"/>
        <c:axId val="458228192"/>
      </c:lineChart>
      <c:catAx>
        <c:axId val="458229760"/>
        <c:scaling>
          <c:orientation val="minMax"/>
        </c:scaling>
        <c:delete val="0"/>
        <c:axPos val="b"/>
        <c:majorTickMark val="out"/>
        <c:minorTickMark val="none"/>
        <c:tickLblPos val="nextTo"/>
        <c:crossAx val="458228192"/>
        <c:crosses val="autoZero"/>
        <c:auto val="1"/>
        <c:lblAlgn val="ctr"/>
        <c:lblOffset val="100"/>
        <c:noMultiLvlLbl val="0"/>
      </c:catAx>
      <c:valAx>
        <c:axId val="45822819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5822976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024380249048"/>
          <c:y val="0.15678135623796374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ro_const_p_215!$G$5:$Q$5</c:f>
              <c:numCache>
                <c:formatCode>General</c:formatCode>
                <c:ptCount val="11"/>
                <c:pt idx="0">
                  <c:v>106.00954929205264</c:v>
                </c:pt>
                <c:pt idx="1">
                  <c:v>117.46237628892533</c:v>
                </c:pt>
                <c:pt idx="2">
                  <c:v>130.89321164607043</c:v>
                </c:pt>
                <c:pt idx="3">
                  <c:v>146.76927174460837</c:v>
                </c:pt>
                <c:pt idx="4">
                  <c:v>165.71857757810079</c:v>
                </c:pt>
                <c:pt idx="5">
                  <c:v>188.58460729232979</c:v>
                </c:pt>
                <c:pt idx="6">
                  <c:v>216.52196060152397</c:v>
                </c:pt>
                <c:pt idx="7">
                  <c:v>251.14569920898722</c:v>
                </c:pt>
                <c:pt idx="8">
                  <c:v>294.7716628031402</c:v>
                </c:pt>
                <c:pt idx="9">
                  <c:v>350.81673331494306</c:v>
                </c:pt>
                <c:pt idx="10">
                  <c:v>424.49249005563195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ro_const_p_215!$W$25:$AA$25</c:f>
              <c:numCache>
                <c:formatCode>General</c:formatCode>
                <c:ptCount val="5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>
                  <c:v>440.15249999999997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28976"/>
        <c:axId val="458229368"/>
      </c:scatterChart>
      <c:valAx>
        <c:axId val="45822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229368"/>
        <c:crosses val="autoZero"/>
        <c:crossBetween val="midCat"/>
      </c:valAx>
      <c:valAx>
        <c:axId val="45822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22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ro_const_p_215!$G$6:$Q$6</c:f>
              <c:numCache>
                <c:formatCode>General</c:formatCode>
                <c:ptCount val="11"/>
                <c:pt idx="0">
                  <c:v>208341.47045939579</c:v>
                </c:pt>
                <c:pt idx="1">
                  <c:v>206747.24224669536</c:v>
                </c:pt>
                <c:pt idx="2">
                  <c:v>204663.90137107947</c:v>
                </c:pt>
                <c:pt idx="3">
                  <c:v>201902.58255528979</c:v>
                </c:pt>
                <c:pt idx="4">
                  <c:v>198181.23806084754</c:v>
                </c:pt>
                <c:pt idx="5">
                  <c:v>193071.15248278095</c:v>
                </c:pt>
                <c:pt idx="6">
                  <c:v>185902.88660991949</c:v>
                </c:pt>
                <c:pt idx="7">
                  <c:v>175598.48108668765</c:v>
                </c:pt>
                <c:pt idx="8">
                  <c:v>160359.65891136561</c:v>
                </c:pt>
                <c:pt idx="9">
                  <c:v>137060.67742173275</c:v>
                </c:pt>
                <c:pt idx="10">
                  <c:v>100000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ro_const_p_215!$W$24:$AA$24</c:f>
              <c:numCache>
                <c:formatCode>General</c:formatCode>
                <c:ptCount val="5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30544"/>
        <c:axId val="458227016"/>
      </c:scatterChart>
      <c:valAx>
        <c:axId val="45823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227016"/>
        <c:crosses val="autoZero"/>
        <c:crossBetween val="midCat"/>
      </c:valAx>
      <c:valAx>
        <c:axId val="458227016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23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75296"/>
        <c:axId val="463470592"/>
      </c:lineChart>
      <c:catAx>
        <c:axId val="463475296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70592"/>
        <c:crosses val="autoZero"/>
        <c:auto val="1"/>
        <c:lblAlgn val="ctr"/>
        <c:lblOffset val="100"/>
        <c:noMultiLvlLbl val="0"/>
      </c:catAx>
      <c:valAx>
        <c:axId val="4634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4752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ro_var_p_215!$G$10:$Q$10</c:f>
              <c:numCache>
                <c:formatCode>General</c:formatCode>
                <c:ptCount val="11"/>
                <c:pt idx="0">
                  <c:v>2.4399472252564611</c:v>
                </c:pt>
                <c:pt idx="1">
                  <c:v>2.4401370531032871</c:v>
                </c:pt>
                <c:pt idx="2">
                  <c:v>2.4498603544719586</c:v>
                </c:pt>
                <c:pt idx="3">
                  <c:v>2.4561715281563292</c:v>
                </c:pt>
                <c:pt idx="4">
                  <c:v>2.460780126242641</c:v>
                </c:pt>
                <c:pt idx="5">
                  <c:v>2.4640657697644857</c:v>
                </c:pt>
                <c:pt idx="6">
                  <c:v>2.4660464256477104</c:v>
                </c:pt>
                <c:pt idx="7">
                  <c:v>2.4665964585807276</c:v>
                </c:pt>
                <c:pt idx="8">
                  <c:v>2.4659960247869801</c:v>
                </c:pt>
                <c:pt idx="9">
                  <c:v>2.4673713242355899</c:v>
                </c:pt>
                <c:pt idx="10">
                  <c:v>2.4626096220729665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69808"/>
        <c:axId val="463471376"/>
      </c:lineChart>
      <c:catAx>
        <c:axId val="46346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71376"/>
        <c:crosses val="autoZero"/>
        <c:auto val="1"/>
        <c:lblAlgn val="ctr"/>
        <c:lblOffset val="100"/>
        <c:noMultiLvlLbl val="0"/>
      </c:catAx>
      <c:valAx>
        <c:axId val="46347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46980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208341.43964335814</c:v>
                </c:pt>
                <c:pt idx="1">
                  <c:v>206747.20380869275</c:v>
                </c:pt>
                <c:pt idx="2">
                  <c:v>204663.84744225908</c:v>
                </c:pt>
                <c:pt idx="3">
                  <c:v>201902.51590403286</c:v>
                </c:pt>
                <c:pt idx="4">
                  <c:v>198181.1634201452</c:v>
                </c:pt>
                <c:pt idx="5">
                  <c:v>193071.07670983352</c:v>
                </c:pt>
                <c:pt idx="6">
                  <c:v>185902.81828206425</c:v>
                </c:pt>
                <c:pt idx="7">
                  <c:v>175598.42902938</c:v>
                </c:pt>
                <c:pt idx="8">
                  <c:v>160359.62914172074</c:v>
                </c:pt>
                <c:pt idx="9">
                  <c:v>137060.66862874239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76472"/>
        <c:axId val="463470984"/>
      </c:lineChart>
      <c:catAx>
        <c:axId val="463476472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70984"/>
        <c:crosses val="autoZero"/>
        <c:auto val="1"/>
        <c:lblAlgn val="ctr"/>
        <c:lblOffset val="100"/>
        <c:noMultiLvlLbl val="0"/>
      </c:catAx>
      <c:valAx>
        <c:axId val="4634709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34764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106.0097946007551</c:v>
                </c:pt>
                <c:pt idx="1">
                  <c:v>117.46264867201269</c:v>
                </c:pt>
                <c:pt idx="2">
                  <c:v>130.89354929085408</c:v>
                </c:pt>
                <c:pt idx="3">
                  <c:v>146.76964331350783</c:v>
                </c:pt>
                <c:pt idx="4">
                  <c:v>165.71894896627057</c:v>
                </c:pt>
                <c:pt idx="5">
                  <c:v>188.58494472864786</c:v>
                </c:pt>
                <c:pt idx="6">
                  <c:v>216.52223540127918</c:v>
                </c:pt>
                <c:pt idx="7">
                  <c:v>251.14589395978049</c:v>
                </c:pt>
                <c:pt idx="8">
                  <c:v>294.77177766958192</c:v>
                </c:pt>
                <c:pt idx="9">
                  <c:v>350.81678918400701</c:v>
                </c:pt>
                <c:pt idx="10">
                  <c:v>424.49252283795033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71768"/>
        <c:axId val="463472160"/>
      </c:lineChart>
      <c:catAx>
        <c:axId val="46347176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72160"/>
        <c:crosses val="autoZero"/>
        <c:auto val="1"/>
        <c:lblAlgn val="ctr"/>
        <c:lblOffset val="100"/>
        <c:noMultiLvlLbl val="0"/>
      </c:catAx>
      <c:valAx>
        <c:axId val="46347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4717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78219600076961E-2"/>
          <c:y val="8.6086479615586797E-2"/>
          <c:w val="0.87248427056993405"/>
          <c:h val="0.81284765570585027"/>
        </c:manualLayout>
      </c:layout>
      <c:scatterChart>
        <c:scatterStyle val="smoothMarker"/>
        <c:varyColors val="0"/>
        <c:ser>
          <c:idx val="0"/>
          <c:order val="0"/>
          <c:tx>
            <c:v>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ro_var_p_215!$W$31:$AG$31</c:f>
              <c:numCache>
                <c:formatCode>General</c:formatCode>
                <c:ptCount val="11"/>
                <c:pt idx="0">
                  <c:v>1</c:v>
                </c:pt>
                <c:pt idx="1">
                  <c:v>0.99868000000000001</c:v>
                </c:pt>
                <c:pt idx="2">
                  <c:v>0.99558999999999997</c:v>
                </c:pt>
                <c:pt idx="3">
                  <c:v>0.99000999999999995</c:v>
                </c:pt>
                <c:pt idx="4">
                  <c:v>0.98329999999999995</c:v>
                </c:pt>
                <c:pt idx="5">
                  <c:v>0.97621999999999998</c:v>
                </c:pt>
                <c:pt idx="6">
                  <c:v>0.96667000000000003</c:v>
                </c:pt>
                <c:pt idx="7">
                  <c:v>0.95494999999999997</c:v>
                </c:pt>
                <c:pt idx="8">
                  <c:v>0.93298999999999999</c:v>
                </c:pt>
                <c:pt idx="9">
                  <c:v>0.88878000000000001</c:v>
                </c:pt>
                <c:pt idx="10">
                  <c:v>0.59103000000000006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7D-4D38-A48F-7593FB8CA584}"/>
            </c:ext>
          </c:extLst>
        </c:ser>
        <c:ser>
          <c:idx val="1"/>
          <c:order val="1"/>
          <c:tx>
            <c:v>22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ro_var_p_215!$W$32:$AG$32</c:f>
              <c:numCache>
                <c:formatCode>General</c:formatCode>
                <c:ptCount val="11"/>
                <c:pt idx="0">
                  <c:v>1</c:v>
                </c:pt>
                <c:pt idx="1">
                  <c:v>0.99495</c:v>
                </c:pt>
                <c:pt idx="2">
                  <c:v>0.99831000000000003</c:v>
                </c:pt>
                <c:pt idx="3">
                  <c:v>0.99831000000000003</c:v>
                </c:pt>
                <c:pt idx="4">
                  <c:v>0.99121000000000004</c:v>
                </c:pt>
                <c:pt idx="5">
                  <c:v>0.98446999999999996</c:v>
                </c:pt>
                <c:pt idx="6">
                  <c:v>0.97567000000000004</c:v>
                </c:pt>
                <c:pt idx="7">
                  <c:v>0.96338999999999997</c:v>
                </c:pt>
                <c:pt idx="8">
                  <c:v>0.94262000000000001</c:v>
                </c:pt>
                <c:pt idx="9">
                  <c:v>0.89688999999999997</c:v>
                </c:pt>
                <c:pt idx="10">
                  <c:v>0.59436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07D-4D38-A48F-7593FB8CA584}"/>
            </c:ext>
          </c:extLst>
        </c:ser>
        <c:ser>
          <c:idx val="2"/>
          <c:order val="2"/>
          <c:tx>
            <c:v>44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ro_var_p_215!$W$33:$AG$33</c:f>
              <c:numCache>
                <c:formatCode>General</c:formatCode>
                <c:ptCount val="11"/>
                <c:pt idx="0">
                  <c:v>1</c:v>
                </c:pt>
                <c:pt idx="1">
                  <c:v>0.99956</c:v>
                </c:pt>
                <c:pt idx="2">
                  <c:v>0.99875999999999998</c:v>
                </c:pt>
                <c:pt idx="3">
                  <c:v>0.99721000000000004</c:v>
                </c:pt>
                <c:pt idx="4">
                  <c:v>0.99416000000000004</c:v>
                </c:pt>
                <c:pt idx="5">
                  <c:v>0.98884000000000005</c:v>
                </c:pt>
                <c:pt idx="6">
                  <c:v>0.98063999999999996</c:v>
                </c:pt>
                <c:pt idx="7">
                  <c:v>0.96826999999999996</c:v>
                </c:pt>
                <c:pt idx="8">
                  <c:v>0.94721</c:v>
                </c:pt>
                <c:pt idx="9">
                  <c:v>0.90100000000000002</c:v>
                </c:pt>
                <c:pt idx="10">
                  <c:v>0.59560999999999997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07D-4D38-A48F-7593FB8CA584}"/>
            </c:ext>
          </c:extLst>
        </c:ser>
        <c:ser>
          <c:idx val="3"/>
          <c:order val="3"/>
          <c:tx>
            <c:v>66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ro_var_p_215!$W$34:$AG$34</c:f>
              <c:numCache>
                <c:formatCode>General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0.99895</c:v>
                </c:pt>
                <c:pt idx="3">
                  <c:v>0.99790000000000001</c:v>
                </c:pt>
                <c:pt idx="4">
                  <c:v>0.99609000000000003</c:v>
                </c:pt>
                <c:pt idx="5">
                  <c:v>0.99280999999999997</c:v>
                </c:pt>
                <c:pt idx="6">
                  <c:v>0.98678999999999994</c:v>
                </c:pt>
                <c:pt idx="7">
                  <c:v>0.97582000000000002</c:v>
                </c:pt>
                <c:pt idx="8">
                  <c:v>0.95484999999999998</c:v>
                </c:pt>
                <c:pt idx="9">
                  <c:v>0.90730999999999995</c:v>
                </c:pt>
                <c:pt idx="10">
                  <c:v>0.59731000000000001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07D-4D38-A48F-7593FB8CA584}"/>
            </c:ext>
          </c:extLst>
        </c:ser>
        <c:ser>
          <c:idx val="4"/>
          <c:order val="4"/>
          <c:tx>
            <c:v>88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ro_var_p_215!$W$35:$AG$35</c:f>
              <c:numCache>
                <c:formatCode>General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0.99797000000000002</c:v>
                </c:pt>
                <c:pt idx="4">
                  <c:v>0.99633000000000005</c:v>
                </c:pt>
                <c:pt idx="5">
                  <c:v>0.99348999999999998</c:v>
                </c:pt>
                <c:pt idx="6">
                  <c:v>0.98829999999999996</c:v>
                </c:pt>
                <c:pt idx="7">
                  <c:v>0.97841</c:v>
                </c:pt>
                <c:pt idx="8">
                  <c:v>0.95828999999999998</c:v>
                </c:pt>
                <c:pt idx="9">
                  <c:v>0.91069999999999995</c:v>
                </c:pt>
                <c:pt idx="10">
                  <c:v>0.59826000000000001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07D-4D38-A48F-7593FB8CA584}"/>
            </c:ext>
          </c:extLst>
        </c:ser>
        <c:ser>
          <c:idx val="5"/>
          <c:order val="5"/>
          <c:tx>
            <c:v>100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ro_var_p_215!$W$36:$AG$36</c:f>
              <c:numCache>
                <c:formatCode>General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0.99797999999999998</c:v>
                </c:pt>
                <c:pt idx="4">
                  <c:v>0.99638000000000004</c:v>
                </c:pt>
                <c:pt idx="5">
                  <c:v>0.99363999999999997</c:v>
                </c:pt>
                <c:pt idx="6">
                  <c:v>0.98872000000000004</c:v>
                </c:pt>
                <c:pt idx="7">
                  <c:v>0.97931000000000001</c:v>
                </c:pt>
                <c:pt idx="8">
                  <c:v>0.95977999999999997</c:v>
                </c:pt>
                <c:pt idx="9">
                  <c:v>0.91252</c:v>
                </c:pt>
                <c:pt idx="10">
                  <c:v>0.59884999999999999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07D-4D38-A48F-7593FB8CA584}"/>
            </c:ext>
          </c:extLst>
        </c:ser>
        <c:ser>
          <c:idx val="6"/>
          <c:order val="6"/>
          <c:tx>
            <c:v>120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ro_var_p_215!$W$37:$AG$37</c:f>
              <c:numCache>
                <c:formatCode>General</c:formatCode>
                <c:ptCount val="11"/>
                <c:pt idx="0">
                  <c:v>1</c:v>
                </c:pt>
                <c:pt idx="1">
                  <c:v>0.99960365308463972</c:v>
                </c:pt>
                <c:pt idx="2">
                  <c:v>0.99896986746094885</c:v>
                </c:pt>
                <c:pt idx="3">
                  <c:v>0.99798548668302201</c:v>
                </c:pt>
                <c:pt idx="4">
                  <c:v>0.99638613053077996</c:v>
                </c:pt>
                <c:pt idx="5">
                  <c:v>0.99366737933486016</c:v>
                </c:pt>
                <c:pt idx="6">
                  <c:v>0.98879811602125645</c:v>
                </c:pt>
                <c:pt idx="7">
                  <c:v>0.97950533150254493</c:v>
                </c:pt>
                <c:pt idx="8">
                  <c:v>0.96016817204612903</c:v>
                </c:pt>
                <c:pt idx="9">
                  <c:v>0.91308966635932731</c:v>
                </c:pt>
                <c:pt idx="10">
                  <c:v>0.59904836867561628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07D-4D38-A48F-7593FB8C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70200"/>
        <c:axId val="463472944"/>
      </c:scatterChart>
      <c:valAx>
        <c:axId val="46347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472944"/>
        <c:crosses val="autoZero"/>
        <c:crossBetween val="midCat"/>
      </c:valAx>
      <c:valAx>
        <c:axId val="463472944"/>
        <c:scaling>
          <c:orientation val="minMax"/>
          <c:max val="1"/>
          <c:min val="0.59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470200"/>
        <c:crosses val="autoZero"/>
        <c:crossBetween val="midCat"/>
        <c:majorUnit val="5.000000000000001E-2"/>
        <c:minorUnit val="1.0000000000000002E-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69024"/>
        <c:axId val="463474512"/>
      </c:lineChart>
      <c:catAx>
        <c:axId val="463469024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74512"/>
        <c:crosses val="autoZero"/>
        <c:auto val="1"/>
        <c:lblAlgn val="ctr"/>
        <c:lblOffset val="100"/>
        <c:noMultiLvlLbl val="0"/>
      </c:catAx>
      <c:valAx>
        <c:axId val="46347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46902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34288"/>
        <c:axId val="454535856"/>
      </c:lineChart>
      <c:catAx>
        <c:axId val="454534288"/>
        <c:scaling>
          <c:orientation val="minMax"/>
        </c:scaling>
        <c:delete val="0"/>
        <c:axPos val="b"/>
        <c:majorTickMark val="out"/>
        <c:minorTickMark val="none"/>
        <c:tickLblPos val="nextTo"/>
        <c:crossAx val="454535856"/>
        <c:crosses val="autoZero"/>
        <c:auto val="1"/>
        <c:lblAlgn val="ctr"/>
        <c:lblOffset val="100"/>
        <c:noMultiLvlLbl val="0"/>
      </c:catAx>
      <c:valAx>
        <c:axId val="45453585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5453428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25192"/>
        <c:axId val="458228584"/>
      </c:lineChart>
      <c:catAx>
        <c:axId val="375825192"/>
        <c:scaling>
          <c:orientation val="minMax"/>
        </c:scaling>
        <c:delete val="0"/>
        <c:axPos val="b"/>
        <c:majorTickMark val="out"/>
        <c:minorTickMark val="none"/>
        <c:tickLblPos val="nextTo"/>
        <c:crossAx val="458228584"/>
        <c:crosses val="autoZero"/>
        <c:auto val="1"/>
        <c:lblAlgn val="ctr"/>
        <c:lblOffset val="100"/>
        <c:noMultiLvlLbl val="0"/>
      </c:catAx>
      <c:valAx>
        <c:axId val="4582285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582519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02816"/>
        <c:axId val="460703208"/>
      </c:lineChart>
      <c:catAx>
        <c:axId val="460702816"/>
        <c:scaling>
          <c:orientation val="minMax"/>
        </c:scaling>
        <c:delete val="0"/>
        <c:axPos val="b"/>
        <c:majorTickMark val="out"/>
        <c:minorTickMark val="none"/>
        <c:tickLblPos val="nextTo"/>
        <c:crossAx val="460703208"/>
        <c:crosses val="autoZero"/>
        <c:auto val="1"/>
        <c:lblAlgn val="ctr"/>
        <c:lblOffset val="100"/>
        <c:noMultiLvlLbl val="0"/>
      </c:catAx>
      <c:valAx>
        <c:axId val="460703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7028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04776"/>
        <c:axId val="460705560"/>
      </c:lineChart>
      <c:catAx>
        <c:axId val="46070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460705560"/>
        <c:crosses val="autoZero"/>
        <c:auto val="1"/>
        <c:lblAlgn val="ctr"/>
        <c:lblOffset val="100"/>
        <c:noMultiLvlLbl val="0"/>
      </c:catAx>
      <c:valAx>
        <c:axId val="460705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70477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05952"/>
        <c:axId val="460708304"/>
      </c:lineChart>
      <c:catAx>
        <c:axId val="460705952"/>
        <c:scaling>
          <c:orientation val="minMax"/>
        </c:scaling>
        <c:delete val="0"/>
        <c:axPos val="b"/>
        <c:majorTickMark val="out"/>
        <c:minorTickMark val="none"/>
        <c:tickLblPos val="nextTo"/>
        <c:crossAx val="460708304"/>
        <c:crosses val="autoZero"/>
        <c:auto val="1"/>
        <c:lblAlgn val="ctr"/>
        <c:lblOffset val="100"/>
        <c:noMultiLvlLbl val="0"/>
      </c:catAx>
      <c:valAx>
        <c:axId val="4607083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6070595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06736"/>
        <c:axId val="460707128"/>
      </c:lineChart>
      <c:catAx>
        <c:axId val="460706736"/>
        <c:scaling>
          <c:orientation val="minMax"/>
        </c:scaling>
        <c:delete val="0"/>
        <c:axPos val="b"/>
        <c:majorTickMark val="out"/>
        <c:minorTickMark val="none"/>
        <c:tickLblPos val="nextTo"/>
        <c:crossAx val="460707128"/>
        <c:crosses val="autoZero"/>
        <c:auto val="1"/>
        <c:lblAlgn val="ctr"/>
        <c:lblOffset val="100"/>
        <c:noMultiLvlLbl val="0"/>
      </c:catAx>
      <c:valAx>
        <c:axId val="4607071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070673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03992"/>
        <c:axId val="460708696"/>
      </c:lineChart>
      <c:catAx>
        <c:axId val="460703992"/>
        <c:scaling>
          <c:orientation val="minMax"/>
        </c:scaling>
        <c:delete val="0"/>
        <c:axPos val="b"/>
        <c:majorTickMark val="out"/>
        <c:minorTickMark val="none"/>
        <c:tickLblPos val="nextTo"/>
        <c:crossAx val="460708696"/>
        <c:crosses val="autoZero"/>
        <c:auto val="1"/>
        <c:lblAlgn val="ctr"/>
        <c:lblOffset val="100"/>
        <c:noMultiLvlLbl val="0"/>
      </c:catAx>
      <c:valAx>
        <c:axId val="460708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70399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499334</xdr:colOff>
      <xdr:row>34</xdr:row>
      <xdr:rowOff>9972</xdr:rowOff>
    </xdr:from>
    <xdr:to>
      <xdr:col>17</xdr:col>
      <xdr:colOff>153633</xdr:colOff>
      <xdr:row>49</xdr:row>
      <xdr:rowOff>9973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535641</xdr:colOff>
      <xdr:row>35</xdr:row>
      <xdr:rowOff>28015</xdr:rowOff>
    </xdr:from>
    <xdr:to>
      <xdr:col>7</xdr:col>
      <xdr:colOff>660586</xdr:colOff>
      <xdr:row>51</xdr:row>
      <xdr:rowOff>119902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523875</xdr:colOff>
      <xdr:row>19</xdr:row>
      <xdr:rowOff>47625</xdr:rowOff>
    </xdr:from>
    <xdr:to>
      <xdr:col>18</xdr:col>
      <xdr:colOff>493941</xdr:colOff>
      <xdr:row>35</xdr:row>
      <xdr:rowOff>4083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47625</xdr:colOff>
      <xdr:row>19</xdr:row>
      <xdr:rowOff>57150</xdr:rowOff>
    </xdr:from>
    <xdr:to>
      <xdr:col>9</xdr:col>
      <xdr:colOff>522516</xdr:colOff>
      <xdr:row>35</xdr:row>
      <xdr:rowOff>13608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251684</xdr:colOff>
      <xdr:row>26</xdr:row>
      <xdr:rowOff>447</xdr:rowOff>
    </xdr:from>
    <xdr:to>
      <xdr:col>10</xdr:col>
      <xdr:colOff>10758</xdr:colOff>
      <xdr:row>41</xdr:row>
      <xdr:rowOff>448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307041</xdr:colOff>
      <xdr:row>40</xdr:row>
      <xdr:rowOff>180415</xdr:rowOff>
    </xdr:from>
    <xdr:to>
      <xdr:col>9</xdr:col>
      <xdr:colOff>651061</xdr:colOff>
      <xdr:row>57</xdr:row>
      <xdr:rowOff>81802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25</xdr:row>
      <xdr:rowOff>189941</xdr:rowOff>
    </xdr:from>
    <xdr:to>
      <xdr:col>17</xdr:col>
      <xdr:colOff>319368</xdr:colOff>
      <xdr:row>41</xdr:row>
      <xdr:rowOff>53229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21852</xdr:colOff>
      <xdr:row>41</xdr:row>
      <xdr:rowOff>64435</xdr:rowOff>
    </xdr:from>
    <xdr:to>
      <xdr:col>17</xdr:col>
      <xdr:colOff>326652</xdr:colOff>
      <xdr:row>56</xdr:row>
      <xdr:rowOff>118223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40</xdr:row>
      <xdr:rowOff>0</xdr:rowOff>
    </xdr:from>
    <xdr:to>
      <xdr:col>37</xdr:col>
      <xdr:colOff>286244</xdr:colOff>
      <xdr:row>77</xdr:row>
      <xdr:rowOff>137309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σ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0.94486</cdr:x>
      <cdr:y>0.91324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92194" y="6562354"/>
          <a:ext cx="571500" cy="623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557493</xdr:colOff>
      <xdr:row>19</xdr:row>
      <xdr:rowOff>161366</xdr:rowOff>
    </xdr:from>
    <xdr:to>
      <xdr:col>17</xdr:col>
      <xdr:colOff>252693</xdr:colOff>
      <xdr:row>35</xdr:row>
      <xdr:rowOff>24654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555252</xdr:colOff>
      <xdr:row>36</xdr:row>
      <xdr:rowOff>7285</xdr:rowOff>
    </xdr:from>
    <xdr:to>
      <xdr:col>17</xdr:col>
      <xdr:colOff>250452</xdr:colOff>
      <xdr:row>51</xdr:row>
      <xdr:rowOff>61073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27</xdr:row>
      <xdr:rowOff>132791</xdr:rowOff>
    </xdr:from>
    <xdr:to>
      <xdr:col>17</xdr:col>
      <xdr:colOff>319368</xdr:colOff>
      <xdr:row>42</xdr:row>
      <xdr:rowOff>186579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240927</xdr:colOff>
      <xdr:row>43</xdr:row>
      <xdr:rowOff>140635</xdr:rowOff>
    </xdr:from>
    <xdr:to>
      <xdr:col>17</xdr:col>
      <xdr:colOff>545727</xdr:colOff>
      <xdr:row>59</xdr:row>
      <xdr:rowOff>3923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H36"/>
  <sheetViews>
    <sheetView topLeftCell="B1" zoomScaleNormal="100" workbookViewId="0">
      <selection activeCell="AE20" sqref="AE20:AF20"/>
    </sheetView>
  </sheetViews>
  <sheetFormatPr defaultRowHeight="15" x14ac:dyDescent="0.25"/>
  <cols>
    <col min="7" max="7" width="9.42578125" bestFit="1" customWidth="1"/>
    <col min="8" max="8" width="10.42578125" bestFit="1" customWidth="1"/>
    <col min="27" max="28" width="9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106.00954929205264</v>
      </c>
      <c r="H5" s="4">
        <v>117.46237628892533</v>
      </c>
      <c r="I5" s="4">
        <v>130.89321164607043</v>
      </c>
      <c r="J5" s="4">
        <v>146.76927174460837</v>
      </c>
      <c r="K5" s="4">
        <v>165.71857757810079</v>
      </c>
      <c r="L5" s="4">
        <v>188.58460729232979</v>
      </c>
      <c r="M5" s="4">
        <v>216.52196060152397</v>
      </c>
      <c r="N5" s="4">
        <v>251.14569920898722</v>
      </c>
      <c r="O5" s="4">
        <v>294.7716628031402</v>
      </c>
      <c r="P5" s="4">
        <v>350.81673331494306</v>
      </c>
      <c r="Q5" s="4">
        <v>424.49249005563195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208341.47045939579</v>
      </c>
      <c r="H6" s="4">
        <v>206747.24224669536</v>
      </c>
      <c r="I6" s="4">
        <v>204663.90137107947</v>
      </c>
      <c r="J6" s="4">
        <v>201902.58255528979</v>
      </c>
      <c r="K6" s="4">
        <v>198181.23806084754</v>
      </c>
      <c r="L6" s="4">
        <v>193071.15248278095</v>
      </c>
      <c r="M6" s="4">
        <v>185902.88660991949</v>
      </c>
      <c r="N6" s="4">
        <v>175598.48108668765</v>
      </c>
      <c r="O6" s="4">
        <v>160359.65891136561</v>
      </c>
      <c r="P6" s="4">
        <v>137060.67742173275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F10" s="4" t="s">
        <v>14</v>
      </c>
      <c r="G10" s="5">
        <f>G4*G7*G13</f>
        <v>2.5257722651690222</v>
      </c>
      <c r="H10" s="5">
        <f>H4*H7*H13</f>
        <v>2.5257781221733611</v>
      </c>
      <c r="I10" s="5">
        <f t="shared" ref="I10:Q10" si="3">I4*I7*I13</f>
        <v>2.5261053581333432</v>
      </c>
      <c r="J10" s="5">
        <f t="shared" si="3"/>
        <v>2.5265173633137388</v>
      </c>
      <c r="K10" s="5">
        <f t="shared" si="3"/>
        <v>2.5269714848570279</v>
      </c>
      <c r="L10" s="5">
        <f t="shared" si="3"/>
        <v>2.5274218902139118</v>
      </c>
      <c r="M10" s="5">
        <f t="shared" si="3"/>
        <v>2.5278236876508027</v>
      </c>
      <c r="N10" s="5">
        <f t="shared" si="3"/>
        <v>2.5281392573431978</v>
      </c>
      <c r="O10" s="5">
        <f t="shared" si="3"/>
        <v>2.5283465364940381</v>
      </c>
      <c r="P10" s="5">
        <f t="shared" si="3"/>
        <v>2.5284475286754851</v>
      </c>
      <c r="Q10" s="5">
        <f t="shared" si="3"/>
        <v>2.528472593012848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-3.8438002600236332E-2</v>
      </c>
      <c r="I11" s="6">
        <f t="shared" ref="I11:P11" si="4">(I13)*(I10-J10)</f>
        <v>-5.3928820388188865E-2</v>
      </c>
      <c r="J11" s="6">
        <f t="shared" si="4"/>
        <v>-6.6651256929530514E-2</v>
      </c>
      <c r="K11" s="6">
        <f t="shared" si="4"/>
        <v>-7.4640702351577645E-2</v>
      </c>
      <c r="L11" s="6">
        <f t="shared" si="4"/>
        <v>-7.5772947428171131E-2</v>
      </c>
      <c r="M11" s="6">
        <f t="shared" si="4"/>
        <v>-6.8327855222281367E-2</v>
      </c>
      <c r="N11" s="6">
        <f t="shared" si="4"/>
        <v>-5.2057307637008658E-2</v>
      </c>
      <c r="O11" s="6">
        <f t="shared" si="4"/>
        <v>-2.9769644855858365E-2</v>
      </c>
      <c r="P11" s="6">
        <f t="shared" si="4"/>
        <v>-8.792990356689406E-3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106.0097946007551</v>
      </c>
      <c r="H13" s="7">
        <f t="shared" ref="H13:Q13" si="5">((G6-H6)/H7+G5*H5)^0.5</f>
        <v>117.46264867201269</v>
      </c>
      <c r="I13" s="7">
        <f t="shared" si="5"/>
        <v>130.89354929085408</v>
      </c>
      <c r="J13" s="7">
        <f t="shared" si="5"/>
        <v>146.76964331350783</v>
      </c>
      <c r="K13" s="7">
        <f t="shared" si="5"/>
        <v>165.71894896627057</v>
      </c>
      <c r="L13" s="7">
        <f t="shared" si="5"/>
        <v>188.58494472864786</v>
      </c>
      <c r="M13" s="7">
        <f t="shared" si="5"/>
        <v>216.52223540127918</v>
      </c>
      <c r="N13" s="7">
        <f t="shared" si="5"/>
        <v>251.14589395978049</v>
      </c>
      <c r="O13" s="7">
        <f t="shared" si="5"/>
        <v>294.77177766958192</v>
      </c>
      <c r="P13" s="7">
        <f t="shared" si="5"/>
        <v>350.81678918400701</v>
      </c>
      <c r="Q13" s="7">
        <f t="shared" si="5"/>
        <v>424.49252283795033</v>
      </c>
    </row>
    <row r="14" spans="2:17" x14ac:dyDescent="0.25">
      <c r="B14" s="4" t="s">
        <v>8</v>
      </c>
      <c r="C14" s="4">
        <v>11</v>
      </c>
      <c r="F14" s="4" t="s">
        <v>6</v>
      </c>
      <c r="G14" s="3">
        <f>C10-(G7*G13^2)/2</f>
        <v>208341.43964335814</v>
      </c>
      <c r="H14" s="4">
        <f>H6+H11</f>
        <v>206747.20380869275</v>
      </c>
      <c r="I14" s="4">
        <f t="shared" ref="I14:Q14" si="6">I6+I11</f>
        <v>204663.84744225908</v>
      </c>
      <c r="J14" s="4">
        <f t="shared" si="6"/>
        <v>201902.51590403286</v>
      </c>
      <c r="K14" s="4">
        <f t="shared" si="6"/>
        <v>198181.1634201452</v>
      </c>
      <c r="L14" s="4">
        <f t="shared" si="6"/>
        <v>193071.07670983352</v>
      </c>
      <c r="M14" s="4">
        <f t="shared" si="6"/>
        <v>185902.81828206425</v>
      </c>
      <c r="N14" s="4">
        <f t="shared" si="6"/>
        <v>175598.42902938</v>
      </c>
      <c r="O14" s="4">
        <f t="shared" si="6"/>
        <v>160359.62914172074</v>
      </c>
      <c r="P14" s="4">
        <f t="shared" si="6"/>
        <v>137060.66862874239</v>
      </c>
      <c r="Q14" s="2">
        <f t="shared" si="6"/>
        <v>100000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34" x14ac:dyDescent="0.25">
      <c r="F17" s="4" t="s">
        <v>16</v>
      </c>
      <c r="G17" s="7">
        <f>$C$11-(G13^2)/(2*$C$8)</f>
        <v>282.56557718474005</v>
      </c>
      <c r="H17" s="7">
        <f t="shared" ref="H17:Q17" si="7">$C$11-(H13^2)/(2*$C$8)</f>
        <v>281.29148455145128</v>
      </c>
      <c r="I17" s="7">
        <f t="shared" si="7"/>
        <v>279.63096712168596</v>
      </c>
      <c r="J17" s="7">
        <f t="shared" si="7"/>
        <v>277.43651921626133</v>
      </c>
      <c r="K17" s="7">
        <f t="shared" si="7"/>
        <v>274.48876839581573</v>
      </c>
      <c r="L17" s="7">
        <f t="shared" si="7"/>
        <v>270.4557579757531</v>
      </c>
      <c r="M17" s="7">
        <f t="shared" si="7"/>
        <v>264.82174909240996</v>
      </c>
      <c r="N17" s="7">
        <f t="shared" si="7"/>
        <v>256.76102546154061</v>
      </c>
      <c r="O17" s="7">
        <f t="shared" si="7"/>
        <v>244.90512101230317</v>
      </c>
      <c r="P17" s="7">
        <f t="shared" si="7"/>
        <v>226.89336341428915</v>
      </c>
      <c r="Q17" s="7">
        <f t="shared" si="7"/>
        <v>198.4577389758424</v>
      </c>
    </row>
    <row r="18" spans="6:34" x14ac:dyDescent="0.25">
      <c r="F18" s="4" t="s">
        <v>23</v>
      </c>
      <c r="G18" s="8">
        <f>SQRT($C$6*$C$7*G17)</f>
        <v>336.93288996802153</v>
      </c>
      <c r="H18" s="8">
        <f t="shared" ref="H18:Q18" si="8">SQRT($C$6*$C$7*H17)</f>
        <v>336.17241389884845</v>
      </c>
      <c r="I18" s="8">
        <f t="shared" si="8"/>
        <v>335.17870018183169</v>
      </c>
      <c r="J18" s="8">
        <f t="shared" si="8"/>
        <v>333.86092599994464</v>
      </c>
      <c r="K18" s="8">
        <f t="shared" si="8"/>
        <v>332.0825607913153</v>
      </c>
      <c r="L18" s="8">
        <f t="shared" si="8"/>
        <v>329.6339207195536</v>
      </c>
      <c r="M18" s="8">
        <f t="shared" si="8"/>
        <v>326.18246086012334</v>
      </c>
      <c r="N18" s="8">
        <f t="shared" si="8"/>
        <v>321.17987950406996</v>
      </c>
      <c r="O18" s="8">
        <f t="shared" si="8"/>
        <v>313.67702711865866</v>
      </c>
      <c r="P18" s="8">
        <f t="shared" si="8"/>
        <v>301.92194223013263</v>
      </c>
      <c r="Q18" s="8">
        <f t="shared" si="8"/>
        <v>282.36950964494309</v>
      </c>
    </row>
    <row r="19" spans="6:34" x14ac:dyDescent="0.25">
      <c r="F19" s="4" t="s">
        <v>18</v>
      </c>
      <c r="G19" s="7">
        <f>G13/G18</f>
        <v>0.31463177907866618</v>
      </c>
      <c r="H19" s="7">
        <f t="shared" ref="H19:Q19" si="9">H13/H18</f>
        <v>0.34941192023970252</v>
      </c>
      <c r="I19" s="7">
        <f t="shared" si="9"/>
        <v>0.39051869710051806</v>
      </c>
      <c r="J19" s="7">
        <f t="shared" si="9"/>
        <v>0.43961311996580327</v>
      </c>
      <c r="K19" s="7">
        <f t="shared" si="9"/>
        <v>0.49902936357567529</v>
      </c>
      <c r="L19" s="7">
        <f t="shared" si="9"/>
        <v>0.57210418247305439</v>
      </c>
      <c r="M19" s="7">
        <f t="shared" si="9"/>
        <v>0.66380710609124471</v>
      </c>
      <c r="N19" s="7">
        <f t="shared" si="9"/>
        <v>0.78194778062552328</v>
      </c>
      <c r="O19" s="7">
        <f t="shared" si="9"/>
        <v>0.93973020714097366</v>
      </c>
      <c r="P19" s="7">
        <f t="shared" si="9"/>
        <v>1.1619453246515137</v>
      </c>
      <c r="Q19" s="14">
        <f t="shared" si="9"/>
        <v>1.5033228034135679</v>
      </c>
    </row>
    <row r="22" spans="6:34" x14ac:dyDescent="0.25">
      <c r="V22" s="15" t="s">
        <v>25</v>
      </c>
      <c r="W22" s="29"/>
      <c r="X22" s="30"/>
      <c r="Y22" s="30"/>
      <c r="Z22" s="30"/>
      <c r="AA22" s="30"/>
      <c r="AB22" s="31"/>
    </row>
    <row r="23" spans="6:34" x14ac:dyDescent="0.25">
      <c r="L23" s="12"/>
      <c r="M23" s="12"/>
      <c r="N23" s="12"/>
      <c r="O23" s="12"/>
      <c r="P23" s="12"/>
      <c r="Q23" s="12"/>
      <c r="V23" s="15" t="s">
        <v>10</v>
      </c>
      <c r="W23" s="16">
        <v>0</v>
      </c>
      <c r="X23" s="16">
        <v>2.5000000000000001E-2</v>
      </c>
      <c r="Y23" s="16">
        <v>0.05</v>
      </c>
      <c r="Z23" s="16">
        <v>7.4999999999999997E-2</v>
      </c>
      <c r="AA23" s="16">
        <v>0.1</v>
      </c>
      <c r="AB23" s="18"/>
    </row>
    <row r="24" spans="6:34" x14ac:dyDescent="0.25">
      <c r="L24" s="12"/>
      <c r="M24" s="12"/>
      <c r="N24" s="12"/>
      <c r="O24" s="12"/>
      <c r="P24" s="12"/>
      <c r="Q24" s="12"/>
      <c r="V24" s="15" t="s">
        <v>6</v>
      </c>
      <c r="W24" s="17">
        <v>207771</v>
      </c>
      <c r="X24" s="17">
        <v>203257</v>
      </c>
      <c r="Y24" s="17">
        <v>192492</v>
      </c>
      <c r="Z24" s="17">
        <v>168165</v>
      </c>
      <c r="AA24" s="15">
        <v>101325</v>
      </c>
      <c r="AB24" s="19"/>
    </row>
    <row r="25" spans="6:34" x14ac:dyDescent="0.25">
      <c r="L25" s="12"/>
      <c r="M25" s="12"/>
      <c r="N25" s="12"/>
      <c r="O25" s="12"/>
      <c r="P25" s="12"/>
      <c r="Q25" s="12"/>
      <c r="V25" s="15" t="s">
        <v>12</v>
      </c>
      <c r="W25" s="17">
        <v>118.4877</v>
      </c>
      <c r="X25" s="17">
        <v>148.65209999999999</v>
      </c>
      <c r="Y25" s="17">
        <v>200.7876</v>
      </c>
      <c r="Z25" s="17">
        <v>285.13</v>
      </c>
      <c r="AA25" s="17">
        <v>440.15249999999997</v>
      </c>
      <c r="AB25" s="11"/>
    </row>
    <row r="26" spans="6:34" x14ac:dyDescent="0.25">
      <c r="L26" s="12"/>
      <c r="M26" s="12"/>
      <c r="N26" s="12"/>
      <c r="O26" s="12"/>
      <c r="P26" s="12"/>
      <c r="Q26" s="12"/>
      <c r="V26" s="20"/>
    </row>
    <row r="28" spans="6:34" x14ac:dyDescent="0.25">
      <c r="V28" s="21"/>
      <c r="W28" s="19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6:34" x14ac:dyDescent="0.25">
      <c r="V29" s="21"/>
      <c r="W29" s="27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</row>
    <row r="30" spans="6:34" x14ac:dyDescent="0.25">
      <c r="V30" s="21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</row>
    <row r="31" spans="6:34" x14ac:dyDescent="0.25">
      <c r="V31" s="21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</row>
    <row r="32" spans="6:34" x14ac:dyDescent="0.25">
      <c r="V32" s="21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</row>
    <row r="33" spans="22:34" x14ac:dyDescent="0.25">
      <c r="V33" s="21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</row>
    <row r="34" spans="22:34" x14ac:dyDescent="0.25">
      <c r="V34" s="21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</row>
    <row r="35" spans="22:34" x14ac:dyDescent="0.25">
      <c r="V35" s="21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</row>
    <row r="36" spans="22:34" x14ac:dyDescent="0.25">
      <c r="V36" s="21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</row>
  </sheetData>
  <mergeCells count="1">
    <mergeCell ref="W22:AB2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AG38"/>
  <sheetViews>
    <sheetView tabSelected="1" topLeftCell="A10" workbookViewId="0">
      <selection activeCell="AQ30" sqref="AQ30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  <col min="24" max="26" width="11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47.100461495613921</v>
      </c>
      <c r="H5" s="4">
        <v>52.319299513763667</v>
      </c>
      <c r="I5" s="4">
        <v>58.723283424289967</v>
      </c>
      <c r="J5" s="4">
        <v>66.300112515797906</v>
      </c>
      <c r="K5" s="4">
        <v>75.447711983272995</v>
      </c>
      <c r="L5" s="4">
        <v>86.704004264963899</v>
      </c>
      <c r="M5" s="4">
        <v>100.88443064511738</v>
      </c>
      <c r="N5" s="4">
        <v>119.35357406112536</v>
      </c>
      <c r="O5" s="4">
        <v>144.78291525281753</v>
      </c>
      <c r="P5" s="4">
        <v>184.27571260088712</v>
      </c>
      <c r="Q5" s="4">
        <v>329.09515774241862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212225.10700071225</v>
      </c>
      <c r="H6" s="4">
        <v>211522.27075728419</v>
      </c>
      <c r="I6" s="4">
        <v>210558.07202831047</v>
      </c>
      <c r="J6" s="4">
        <v>209276.01329889623</v>
      </c>
      <c r="K6" s="4">
        <v>207524.94731422683</v>
      </c>
      <c r="L6" s="4">
        <v>205067.67059428428</v>
      </c>
      <c r="M6" s="4">
        <v>201503.21022088916</v>
      </c>
      <c r="N6" s="4">
        <v>196098.77292281619</v>
      </c>
      <c r="O6" s="4">
        <v>187337.2553151293</v>
      </c>
      <c r="P6" s="4">
        <v>171132.38474491582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2.5762687401582012</v>
      </c>
      <c r="H7" s="4">
        <v>2.5700493037438585</v>
      </c>
      <c r="I7" s="4">
        <v>2.5614957512361056</v>
      </c>
      <c r="J7" s="4">
        <v>2.5500973317616378</v>
      </c>
      <c r="K7" s="4">
        <v>2.5344807605340391</v>
      </c>
      <c r="L7" s="4">
        <v>2.5124712060023229</v>
      </c>
      <c r="M7" s="4">
        <v>2.4803479587324349</v>
      </c>
      <c r="N7" s="4">
        <v>2.4312133735342654</v>
      </c>
      <c r="O7" s="4">
        <v>2.3505519773046704</v>
      </c>
      <c r="P7" s="4">
        <v>2.1984366153722474</v>
      </c>
      <c r="Q7" s="4">
        <v>1.4876109987926542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E10" s="10"/>
      <c r="F10" s="4" t="s">
        <v>14</v>
      </c>
      <c r="G10" s="5">
        <f t="shared" ref="G10:Q10" si="3">G4*G7*G13</f>
        <v>2.4399472252564611</v>
      </c>
      <c r="H10" s="5">
        <f t="shared" si="3"/>
        <v>2.4401370531032871</v>
      </c>
      <c r="I10" s="5">
        <f t="shared" si="3"/>
        <v>2.4498603544719586</v>
      </c>
      <c r="J10" s="5">
        <f t="shared" si="3"/>
        <v>2.4561715281563292</v>
      </c>
      <c r="K10" s="5">
        <f t="shared" si="3"/>
        <v>2.460780126242641</v>
      </c>
      <c r="L10" s="5">
        <f t="shared" si="3"/>
        <v>2.4640657697644857</v>
      </c>
      <c r="M10" s="5">
        <f t="shared" si="3"/>
        <v>2.4660464256477104</v>
      </c>
      <c r="N10" s="5">
        <f t="shared" si="3"/>
        <v>2.4665964585807276</v>
      </c>
      <c r="O10" s="5">
        <f t="shared" si="3"/>
        <v>2.4659960247869801</v>
      </c>
      <c r="P10" s="5">
        <f t="shared" si="3"/>
        <v>2.4673713242355899</v>
      </c>
      <c r="Q10" s="5">
        <f t="shared" si="3"/>
        <v>2.4626096220729665</v>
      </c>
    </row>
    <row r="11" spans="2:17" x14ac:dyDescent="0.25">
      <c r="B11" s="4" t="s">
        <v>7</v>
      </c>
      <c r="C11" s="4">
        <v>288.16000000000003</v>
      </c>
      <c r="E11" s="10"/>
      <c r="F11" s="4" t="s">
        <v>15</v>
      </c>
      <c r="G11" s="6">
        <v>0</v>
      </c>
      <c r="H11" s="6">
        <f>(H13)*(H10-I10)</f>
        <v>-0.50875589468967997</v>
      </c>
      <c r="I11" s="6">
        <f t="shared" ref="I11:P11" si="4">(I13)*(I10-J10)</f>
        <v>-0.3706320369430976</v>
      </c>
      <c r="J11" s="6">
        <f t="shared" si="4"/>
        <v>-0.30556462365817039</v>
      </c>
      <c r="K11" s="6">
        <f t="shared" si="4"/>
        <v>-0.24791022173631255</v>
      </c>
      <c r="L11" s="6">
        <f t="shared" si="4"/>
        <v>-0.17175439430463729</v>
      </c>
      <c r="M11" s="6">
        <f t="shared" si="4"/>
        <v>-5.5507466370133457E-2</v>
      </c>
      <c r="N11" s="6">
        <f t="shared" si="4"/>
        <v>7.171063941497402E-2</v>
      </c>
      <c r="O11" s="6">
        <f t="shared" si="4"/>
        <v>-0.19933677812798409</v>
      </c>
      <c r="P11" s="6">
        <f t="shared" si="4"/>
        <v>0.87867357582223349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47.104177221709634</v>
      </c>
      <c r="H13" s="7">
        <f t="shared" ref="H13:Q13" si="5">((G6-H6)/H7+G5*H5)^0.5</f>
        <v>52.323369954251611</v>
      </c>
      <c r="I13" s="7">
        <f t="shared" si="5"/>
        <v>58.726325003692054</v>
      </c>
      <c r="J13" s="7">
        <f t="shared" si="5"/>
        <v>66.303161598262236</v>
      </c>
      <c r="K13" s="7">
        <f t="shared" si="5"/>
        <v>75.452562059175079</v>
      </c>
      <c r="L13" s="7">
        <f t="shared" si="5"/>
        <v>86.715918579962164</v>
      </c>
      <c r="M13" s="7">
        <f t="shared" si="5"/>
        <v>100.91662342042413</v>
      </c>
      <c r="N13" s="7">
        <f t="shared" si="5"/>
        <v>119.43138471171335</v>
      </c>
      <c r="O13" s="7">
        <f t="shared" si="5"/>
        <v>144.94063698598785</v>
      </c>
      <c r="P13" s="7">
        <f t="shared" si="5"/>
        <v>184.52930187849896</v>
      </c>
      <c r="Q13" s="7">
        <f t="shared" si="5"/>
        <v>329.33382330517918</v>
      </c>
    </row>
    <row r="14" spans="2:17" x14ac:dyDescent="0.25">
      <c r="B14" s="4" t="s">
        <v>8</v>
      </c>
      <c r="C14" s="4">
        <v>200</v>
      </c>
      <c r="D14">
        <v>240</v>
      </c>
      <c r="F14" s="4" t="s">
        <v>6</v>
      </c>
      <c r="G14" s="3">
        <f>C10*G22</f>
        <v>212224.68572699203</v>
      </c>
      <c r="H14" s="9">
        <f>H6+H11</f>
        <v>211521.76200138949</v>
      </c>
      <c r="I14" s="9">
        <f t="shared" ref="I14:Q14" si="6">I6+I11</f>
        <v>210557.70139627354</v>
      </c>
      <c r="J14" s="9">
        <f t="shared" si="6"/>
        <v>209275.70773427258</v>
      </c>
      <c r="K14" s="9">
        <f t="shared" si="6"/>
        <v>207524.69940400508</v>
      </c>
      <c r="L14" s="9">
        <f t="shared" si="6"/>
        <v>205067.49883988997</v>
      </c>
      <c r="M14" s="9">
        <f t="shared" si="6"/>
        <v>201503.15471342279</v>
      </c>
      <c r="N14" s="9">
        <f t="shared" si="6"/>
        <v>196098.84463345562</v>
      </c>
      <c r="O14" s="9">
        <f t="shared" si="6"/>
        <v>187337.05597835116</v>
      </c>
      <c r="P14" s="9">
        <f t="shared" si="6"/>
        <v>171133.26341849164</v>
      </c>
      <c r="Q14" s="9">
        <f t="shared" si="6"/>
        <v>100000</v>
      </c>
    </row>
    <row r="15" spans="2:17" x14ac:dyDescent="0.25">
      <c r="B15" s="12" t="s">
        <v>30</v>
      </c>
      <c r="C15" s="12">
        <v>120</v>
      </c>
      <c r="E15" s="10"/>
      <c r="F15" s="4" t="s">
        <v>13</v>
      </c>
      <c r="G15" s="4">
        <f>G14/($C$7*G17)</f>
        <v>2.5762651900624527</v>
      </c>
      <c r="H15" s="4">
        <f t="shared" ref="H15:Q15" si="7">H14/($C$7*H17)</f>
        <v>2.5700450223422369</v>
      </c>
      <c r="I15" s="4">
        <f t="shared" si="7"/>
        <v>2.5614928326585238</v>
      </c>
      <c r="J15" s="4">
        <f t="shared" si="7"/>
        <v>2.5500954031719645</v>
      </c>
      <c r="K15" s="4">
        <f t="shared" si="7"/>
        <v>2.5344809691345969</v>
      </c>
      <c r="L15" s="4">
        <f t="shared" si="7"/>
        <v>2.5124781877735671</v>
      </c>
      <c r="M15" s="4">
        <f t="shared" si="7"/>
        <v>2.4803756111017443</v>
      </c>
      <c r="N15" s="4">
        <f t="shared" si="7"/>
        <v>2.4312942708076943</v>
      </c>
      <c r="O15" s="4">
        <f t="shared" si="7"/>
        <v>2.3507420196843984</v>
      </c>
      <c r="P15" s="4">
        <f t="shared" si="7"/>
        <v>2.1988253041329915</v>
      </c>
      <c r="Q15" s="4">
        <f t="shared" si="7"/>
        <v>1.4881079632660192</v>
      </c>
    </row>
    <row r="17" spans="5:33" x14ac:dyDescent="0.25">
      <c r="F17" s="4" t="s">
        <v>16</v>
      </c>
      <c r="G17" s="7">
        <f>$C$11-(G13^2)/(2*$C$8)</f>
        <v>287.05545822793005</v>
      </c>
      <c r="H17" s="7">
        <f t="shared" ref="H17:Q17" si="8">$C$11-(H13^2)/(2*$C$8)</f>
        <v>286.79712911023029</v>
      </c>
      <c r="I17" s="7">
        <f t="shared" si="8"/>
        <v>286.44316345657148</v>
      </c>
      <c r="J17" s="7">
        <f t="shared" si="8"/>
        <v>285.97157445344226</v>
      </c>
      <c r="K17" s="7">
        <f t="shared" si="8"/>
        <v>285.32592536773518</v>
      </c>
      <c r="L17" s="7">
        <f t="shared" si="8"/>
        <v>284.41664549225078</v>
      </c>
      <c r="M17" s="7">
        <f t="shared" si="8"/>
        <v>283.09022457059956</v>
      </c>
      <c r="N17" s="7">
        <f t="shared" si="8"/>
        <v>281.05931518610254</v>
      </c>
      <c r="O17" s="7">
        <f t="shared" si="8"/>
        <v>277.70212054465162</v>
      </c>
      <c r="P17" s="7">
        <f t="shared" si="8"/>
        <v>271.20905254292802</v>
      </c>
      <c r="Q17" s="7">
        <f t="shared" si="8"/>
        <v>234.16718480047444</v>
      </c>
    </row>
    <row r="18" spans="5:33" x14ac:dyDescent="0.25">
      <c r="F18" s="4" t="s">
        <v>23</v>
      </c>
      <c r="G18" s="8">
        <f>SQRT($C$6*$C$7*G17)</f>
        <v>339.59922046733226</v>
      </c>
      <c r="H18" s="8">
        <f t="shared" ref="H18:Q18" si="9">SQRT($C$6*$C$7*H17)</f>
        <v>339.44637872428302</v>
      </c>
      <c r="I18" s="8">
        <f t="shared" si="9"/>
        <v>339.23684131421061</v>
      </c>
      <c r="J18" s="8">
        <f t="shared" si="9"/>
        <v>338.95747304001799</v>
      </c>
      <c r="K18" s="8">
        <f t="shared" si="9"/>
        <v>338.57461812203462</v>
      </c>
      <c r="L18" s="8">
        <f t="shared" si="9"/>
        <v>338.03470092030943</v>
      </c>
      <c r="M18" s="8">
        <f t="shared" si="9"/>
        <v>337.24554125394116</v>
      </c>
      <c r="N18" s="8">
        <f t="shared" si="9"/>
        <v>336.03365205976127</v>
      </c>
      <c r="O18" s="8">
        <f t="shared" si="9"/>
        <v>334.02069713075514</v>
      </c>
      <c r="P18" s="8">
        <f t="shared" si="9"/>
        <v>330.09266262201101</v>
      </c>
      <c r="Q18" s="8">
        <f t="shared" si="9"/>
        <v>306.72332076186586</v>
      </c>
    </row>
    <row r="19" spans="5:33" x14ac:dyDescent="0.25">
      <c r="E19" s="10"/>
      <c r="F19" s="4" t="s">
        <v>18</v>
      </c>
      <c r="G19" s="6">
        <f>G13/G18</f>
        <v>0.13870519831255271</v>
      </c>
      <c r="H19" s="6">
        <f t="shared" ref="H19:Q19" si="10">H13/H18</f>
        <v>0.15414325570623194</v>
      </c>
      <c r="I19" s="6">
        <f t="shared" si="10"/>
        <v>0.17311305215608377</v>
      </c>
      <c r="J19" s="6">
        <f t="shared" si="10"/>
        <v>0.19560908630692544</v>
      </c>
      <c r="K19" s="6">
        <f t="shared" si="10"/>
        <v>0.22285356911184415</v>
      </c>
      <c r="L19" s="6">
        <f t="shared" si="10"/>
        <v>0.25652963540096779</v>
      </c>
      <c r="M19" s="6">
        <f t="shared" si="10"/>
        <v>0.29923782845340963</v>
      </c>
      <c r="N19" s="6">
        <f t="shared" si="10"/>
        <v>0.35541495317401517</v>
      </c>
      <c r="O19" s="6">
        <f t="shared" si="10"/>
        <v>0.43392711359215458</v>
      </c>
      <c r="P19" s="6">
        <f t="shared" si="10"/>
        <v>0.55902273141346193</v>
      </c>
      <c r="Q19" s="6">
        <f t="shared" si="10"/>
        <v>1.0737162811329488</v>
      </c>
    </row>
    <row r="20" spans="5:33" x14ac:dyDescent="0.25">
      <c r="F20" s="4" t="s">
        <v>19</v>
      </c>
      <c r="G20" s="4">
        <f>1-((($C$6-1)/($C$6+1))*G21^2)</f>
        <v>0.99629474535877582</v>
      </c>
      <c r="H20" s="4">
        <f t="shared" ref="H20:Q20" si="11">1-((($C$6-1)/($C$6+1))*H21^2)</f>
        <v>0.99546354498627287</v>
      </c>
      <c r="I20" s="4">
        <f t="shared" si="11"/>
        <v>0.99434529602881283</v>
      </c>
      <c r="J20" s="4">
        <f t="shared" si="11"/>
        <v>0.99289140797095288</v>
      </c>
      <c r="K20" s="4">
        <f t="shared" si="11"/>
        <v>0.99096470950014048</v>
      </c>
      <c r="L20" s="4">
        <f t="shared" si="11"/>
        <v>0.98836928474652364</v>
      </c>
      <c r="M20" s="4">
        <f t="shared" si="11"/>
        <v>0.9848114156632064</v>
      </c>
      <c r="N20" s="4">
        <f t="shared" si="11"/>
        <v>0.97983142299343007</v>
      </c>
      <c r="O20" s="4">
        <f t="shared" si="11"/>
        <v>0.97264350922328124</v>
      </c>
      <c r="P20" s="4">
        <f t="shared" si="11"/>
        <v>0.961537975730266</v>
      </c>
      <c r="Q20" s="4">
        <f t="shared" si="11"/>
        <v>0.93025047418574713</v>
      </c>
    </row>
    <row r="21" spans="5:33" x14ac:dyDescent="0.25">
      <c r="F21" s="4" t="s">
        <v>21</v>
      </c>
      <c r="G21" s="4">
        <f>SQRT(((($C$6+1)/2)*G19^2)/(1+2*G19^2))</f>
        <v>0.14910240724866008</v>
      </c>
      <c r="H21" s="4">
        <f>SQRT(((($C$6+1)/2)*H19^2)/(1+2*H19^2))</f>
        <v>0.16498099915554648</v>
      </c>
      <c r="I21" s="4">
        <f t="shared" ref="I21:Q21" si="12">SQRT(((($C$6+1)/2)*I19^2)/(1+2*I19^2))</f>
        <v>0.18419615584241403</v>
      </c>
      <c r="J21" s="4">
        <f t="shared" si="12"/>
        <v>0.20652252219620684</v>
      </c>
      <c r="K21" s="4">
        <f t="shared" si="12"/>
        <v>0.23283415342074879</v>
      </c>
      <c r="L21" s="4">
        <f t="shared" si="12"/>
        <v>0.26416716586445455</v>
      </c>
      <c r="M21" s="4">
        <f t="shared" si="12"/>
        <v>0.30187995299582554</v>
      </c>
      <c r="N21" s="4">
        <f t="shared" si="12"/>
        <v>0.34786701775164003</v>
      </c>
      <c r="O21" s="4">
        <f t="shared" si="12"/>
        <v>0.40514064799809046</v>
      </c>
      <c r="P21" s="4">
        <f t="shared" si="12"/>
        <v>0.48038749527688968</v>
      </c>
      <c r="Q21" s="4">
        <f t="shared" si="12"/>
        <v>0.64691356059794991</v>
      </c>
    </row>
    <row r="22" spans="5:33" x14ac:dyDescent="0.25">
      <c r="F22" s="4" t="s">
        <v>20</v>
      </c>
      <c r="G22" s="4">
        <f>(1-((($C$6-1)/($C$6+1))*G21^2))^($C$6/($C$6-1))</f>
        <v>0.98709156152089317</v>
      </c>
      <c r="H22" s="4">
        <f t="shared" ref="H22:Q22" si="13">(1-((($C$6-1)/($C$6+1))*H21^2))^($C$6/($C$6-1))</f>
        <v>0.98421223832839344</v>
      </c>
      <c r="I22" s="4">
        <f t="shared" si="13"/>
        <v>0.98034803443904983</v>
      </c>
      <c r="J22" s="4">
        <f t="shared" si="13"/>
        <v>0.97534022067370152</v>
      </c>
      <c r="K22" s="4">
        <f t="shared" si="13"/>
        <v>0.96873203112978368</v>
      </c>
      <c r="L22" s="4">
        <f t="shared" si="13"/>
        <v>0.95988088169301666</v>
      </c>
      <c r="M22" s="4">
        <f t="shared" si="13"/>
        <v>0.94784158689792752</v>
      </c>
      <c r="N22" s="4">
        <f t="shared" si="13"/>
        <v>0.9311717048633168</v>
      </c>
      <c r="O22" s="4">
        <f t="shared" si="13"/>
        <v>0.90748180313926607</v>
      </c>
      <c r="P22" s="4">
        <f t="shared" si="13"/>
        <v>0.87173110855195568</v>
      </c>
      <c r="Q22" s="4">
        <f t="shared" si="13"/>
        <v>0.77642524943027957</v>
      </c>
    </row>
    <row r="23" spans="5:33" x14ac:dyDescent="0.25">
      <c r="E23" s="10"/>
      <c r="F23" s="4" t="s">
        <v>5</v>
      </c>
      <c r="G23" s="4">
        <f>G14/G22</f>
        <v>215000</v>
      </c>
      <c r="H23" s="4">
        <f t="shared" ref="H23:Q23" si="14">H14/H22</f>
        <v>214914.78541319753</v>
      </c>
      <c r="I23" s="4">
        <f t="shared" si="14"/>
        <v>214778.52150410399</v>
      </c>
      <c r="J23" s="4">
        <f t="shared" si="14"/>
        <v>214566.87963684974</v>
      </c>
      <c r="K23" s="4">
        <f t="shared" si="14"/>
        <v>214223.0180641177</v>
      </c>
      <c r="L23" s="4">
        <f t="shared" si="14"/>
        <v>213638.48655699493</v>
      </c>
      <c r="M23" s="4">
        <f t="shared" si="14"/>
        <v>212591.59494457013</v>
      </c>
      <c r="N23" s="4">
        <f t="shared" si="14"/>
        <v>210593.64627304717</v>
      </c>
      <c r="O23" s="4">
        <f t="shared" si="14"/>
        <v>206436.15698991774</v>
      </c>
      <c r="P23" s="4">
        <f t="shared" si="14"/>
        <v>196314.27826725537</v>
      </c>
      <c r="Q23" s="13">
        <f t="shared" si="14"/>
        <v>128795.3992652575</v>
      </c>
      <c r="R23" t="s">
        <v>24</v>
      </c>
    </row>
    <row r="24" spans="5:33" x14ac:dyDescent="0.25">
      <c r="R24" t="s">
        <v>26</v>
      </c>
    </row>
    <row r="27" spans="5:33" x14ac:dyDescent="0.25"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5:33" x14ac:dyDescent="0.25"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5:33" x14ac:dyDescent="0.25">
      <c r="J29" s="11"/>
      <c r="K29" s="11"/>
      <c r="L29" s="11"/>
      <c r="M29" s="11"/>
      <c r="N29" s="11"/>
      <c r="O29" s="11"/>
      <c r="P29" s="11"/>
      <c r="Q29" s="11"/>
      <c r="R29" s="11"/>
      <c r="S29" s="11"/>
      <c r="Y29" t="s">
        <v>29</v>
      </c>
    </row>
    <row r="30" spans="5:33" x14ac:dyDescent="0.25">
      <c r="J30" s="11"/>
      <c r="K30" s="11"/>
      <c r="L30" s="12"/>
      <c r="M30" s="12"/>
      <c r="N30" s="12"/>
      <c r="O30" s="12"/>
      <c r="P30" s="12"/>
      <c r="Q30" s="12"/>
      <c r="R30" s="11"/>
      <c r="S30" s="11"/>
      <c r="U30" s="21" t="s">
        <v>27</v>
      </c>
      <c r="V30" s="15" t="s">
        <v>10</v>
      </c>
      <c r="W30" s="22">
        <v>0</v>
      </c>
      <c r="X30" s="22">
        <v>0.01</v>
      </c>
      <c r="Y30" s="22">
        <v>0.02</v>
      </c>
      <c r="Z30" s="22">
        <v>0.03</v>
      </c>
      <c r="AA30" s="22">
        <v>0.04</v>
      </c>
      <c r="AB30" s="22">
        <v>0.05</v>
      </c>
      <c r="AC30" s="22">
        <v>0.06</v>
      </c>
      <c r="AD30" s="22">
        <v>7.0000000000000007E-2</v>
      </c>
      <c r="AE30" s="22">
        <v>0.08</v>
      </c>
      <c r="AF30" s="22">
        <v>0.09</v>
      </c>
      <c r="AG30" s="22">
        <v>0.1</v>
      </c>
    </row>
    <row r="31" spans="5:33" x14ac:dyDescent="0.25">
      <c r="J31" s="11"/>
      <c r="K31" s="11"/>
      <c r="L31" s="12"/>
      <c r="M31" s="12"/>
      <c r="N31" s="12"/>
      <c r="O31" s="12"/>
      <c r="P31" s="12"/>
      <c r="Q31" s="12"/>
      <c r="R31" s="11"/>
      <c r="S31" s="11"/>
      <c r="U31" s="21">
        <v>11</v>
      </c>
      <c r="V31" s="25" t="s">
        <v>28</v>
      </c>
      <c r="W31" s="23">
        <f>G23/$G$23</f>
        <v>1</v>
      </c>
      <c r="X31" s="23">
        <v>0.99868000000000001</v>
      </c>
      <c r="Y31" s="23">
        <v>0.99558999999999997</v>
      </c>
      <c r="Z31" s="23">
        <v>0.99000999999999995</v>
      </c>
      <c r="AA31" s="23">
        <v>0.98329999999999995</v>
      </c>
      <c r="AB31" s="23">
        <v>0.97621999999999998</v>
      </c>
      <c r="AC31" s="23">
        <v>0.96667000000000003</v>
      </c>
      <c r="AD31" s="23">
        <v>0.95494999999999997</v>
      </c>
      <c r="AE31" s="23">
        <v>0.93298999999999999</v>
      </c>
      <c r="AF31" s="23">
        <v>0.88878000000000001</v>
      </c>
      <c r="AG31" s="23">
        <v>0.59103000000000006</v>
      </c>
    </row>
    <row r="32" spans="5:33" x14ac:dyDescent="0.25">
      <c r="J32" s="11"/>
      <c r="K32" s="11"/>
      <c r="L32" s="12"/>
      <c r="M32" s="12"/>
      <c r="N32" s="12"/>
      <c r="O32" s="12"/>
      <c r="P32" s="12"/>
      <c r="Q32" s="12"/>
      <c r="R32" s="11"/>
      <c r="S32" s="11"/>
      <c r="U32" s="21">
        <v>22</v>
      </c>
      <c r="V32" s="23" t="s">
        <v>28</v>
      </c>
      <c r="W32" s="23">
        <f>G23/$G$23</f>
        <v>1</v>
      </c>
      <c r="X32" s="23">
        <v>0.99495</v>
      </c>
      <c r="Y32" s="23">
        <v>0.99831000000000003</v>
      </c>
      <c r="Z32" s="23">
        <v>0.99831000000000003</v>
      </c>
      <c r="AA32" s="23">
        <v>0.99121000000000004</v>
      </c>
      <c r="AB32" s="23">
        <v>0.98446999999999996</v>
      </c>
      <c r="AC32" s="23">
        <v>0.97567000000000004</v>
      </c>
      <c r="AD32" s="23">
        <v>0.96338999999999997</v>
      </c>
      <c r="AE32" s="23">
        <v>0.94262000000000001</v>
      </c>
      <c r="AF32" s="23">
        <v>0.89688999999999997</v>
      </c>
      <c r="AG32" s="23">
        <v>0.59436</v>
      </c>
    </row>
    <row r="33" spans="10:33" x14ac:dyDescent="0.25">
      <c r="J33" s="12"/>
      <c r="K33" s="11"/>
      <c r="L33" s="12"/>
      <c r="M33" s="12"/>
      <c r="N33" s="12"/>
      <c r="O33" s="12"/>
      <c r="P33" s="12"/>
      <c r="Q33" s="12"/>
      <c r="R33" s="11"/>
      <c r="S33" s="11"/>
      <c r="U33" s="21">
        <v>44</v>
      </c>
      <c r="V33" s="23" t="s">
        <v>28</v>
      </c>
      <c r="W33" s="23">
        <f>G23/$G$23</f>
        <v>1</v>
      </c>
      <c r="X33" s="23">
        <v>0.99956</v>
      </c>
      <c r="Y33" s="23">
        <v>0.99875999999999998</v>
      </c>
      <c r="Z33" s="23">
        <v>0.99721000000000004</v>
      </c>
      <c r="AA33" s="23">
        <v>0.99416000000000004</v>
      </c>
      <c r="AB33" s="23">
        <v>0.98884000000000005</v>
      </c>
      <c r="AC33" s="23">
        <v>0.98063999999999996</v>
      </c>
      <c r="AD33" s="23">
        <v>0.96826999999999996</v>
      </c>
      <c r="AE33" s="23">
        <v>0.94721</v>
      </c>
      <c r="AF33" s="23">
        <v>0.90100000000000002</v>
      </c>
      <c r="AG33" s="23">
        <v>0.59560999999999997</v>
      </c>
    </row>
    <row r="34" spans="10:33" x14ac:dyDescent="0.25">
      <c r="J34" s="11"/>
      <c r="K34" s="11"/>
      <c r="L34" s="11"/>
      <c r="M34" s="11"/>
      <c r="N34" s="11"/>
      <c r="O34" s="11"/>
      <c r="P34" s="11"/>
      <c r="Q34" s="11"/>
      <c r="R34" s="11"/>
      <c r="S34" s="11"/>
      <c r="U34" s="21">
        <v>66</v>
      </c>
      <c r="V34" s="23" t="s">
        <v>28</v>
      </c>
      <c r="W34" s="23">
        <f>G23/$G$23</f>
        <v>1</v>
      </c>
      <c r="X34" s="23">
        <v>0.99960000000000004</v>
      </c>
      <c r="Y34" s="23">
        <v>0.99895</v>
      </c>
      <c r="Z34" s="23">
        <v>0.99790000000000001</v>
      </c>
      <c r="AA34" s="23">
        <v>0.99609000000000003</v>
      </c>
      <c r="AB34" s="23">
        <v>0.99280999999999997</v>
      </c>
      <c r="AC34" s="23">
        <v>0.98678999999999994</v>
      </c>
      <c r="AD34" s="23">
        <v>0.97582000000000002</v>
      </c>
      <c r="AE34" s="23">
        <v>0.95484999999999998</v>
      </c>
      <c r="AF34" s="23">
        <v>0.90730999999999995</v>
      </c>
      <c r="AG34" s="23">
        <v>0.59731000000000001</v>
      </c>
    </row>
    <row r="35" spans="10:33" x14ac:dyDescent="0.25">
      <c r="U35" s="21">
        <v>88</v>
      </c>
      <c r="V35" s="23" t="s">
        <v>28</v>
      </c>
      <c r="W35" s="23">
        <f>G23/$G$23</f>
        <v>1</v>
      </c>
      <c r="X35" s="23">
        <v>0.99960000000000004</v>
      </c>
      <c r="Y35" s="23">
        <v>0.99897000000000002</v>
      </c>
      <c r="Z35" s="23">
        <v>0.99797000000000002</v>
      </c>
      <c r="AA35" s="23">
        <v>0.99633000000000005</v>
      </c>
      <c r="AB35" s="23">
        <v>0.99348999999999998</v>
      </c>
      <c r="AC35" s="23">
        <v>0.98829999999999996</v>
      </c>
      <c r="AD35" s="23">
        <v>0.97841</v>
      </c>
      <c r="AE35" s="23">
        <v>0.95828999999999998</v>
      </c>
      <c r="AF35" s="23">
        <v>0.91069999999999995</v>
      </c>
      <c r="AG35" s="23">
        <v>0.59826000000000001</v>
      </c>
    </row>
    <row r="36" spans="10:33" x14ac:dyDescent="0.25">
      <c r="U36" s="21">
        <v>100</v>
      </c>
      <c r="V36" s="23" t="s">
        <v>28</v>
      </c>
      <c r="W36" s="23">
        <f>G23/$G$23</f>
        <v>1</v>
      </c>
      <c r="X36" s="23">
        <v>0.99960000000000004</v>
      </c>
      <c r="Y36" s="23">
        <v>0.99897000000000002</v>
      </c>
      <c r="Z36" s="23">
        <v>0.99797999999999998</v>
      </c>
      <c r="AA36" s="23">
        <v>0.99638000000000004</v>
      </c>
      <c r="AB36" s="23">
        <v>0.99363999999999997</v>
      </c>
      <c r="AC36" s="23">
        <v>0.98872000000000004</v>
      </c>
      <c r="AD36" s="23">
        <v>0.97931000000000001</v>
      </c>
      <c r="AE36" s="23">
        <v>0.95977999999999997</v>
      </c>
      <c r="AF36" s="23">
        <v>0.91252</v>
      </c>
      <c r="AG36" s="23">
        <v>0.59884999999999999</v>
      </c>
    </row>
    <row r="37" spans="10:33" x14ac:dyDescent="0.25">
      <c r="U37" s="21">
        <v>120</v>
      </c>
      <c r="V37" s="23" t="s">
        <v>28</v>
      </c>
      <c r="W37" s="23">
        <f>G23/$G$23</f>
        <v>1</v>
      </c>
      <c r="X37" s="23">
        <f t="shared" ref="X37:AG37" si="15">H23/$G$23</f>
        <v>0.99960365308463972</v>
      </c>
      <c r="Y37" s="23">
        <f t="shared" si="15"/>
        <v>0.99896986746094885</v>
      </c>
      <c r="Z37" s="23">
        <f t="shared" si="15"/>
        <v>0.99798548668302201</v>
      </c>
      <c r="AA37" s="23">
        <f t="shared" si="15"/>
        <v>0.99638613053077996</v>
      </c>
      <c r="AB37" s="23">
        <f t="shared" si="15"/>
        <v>0.99366737933486016</v>
      </c>
      <c r="AC37" s="23">
        <f t="shared" si="15"/>
        <v>0.98879811602125645</v>
      </c>
      <c r="AD37" s="23">
        <f t="shared" si="15"/>
        <v>0.97950533150254493</v>
      </c>
      <c r="AE37" s="23">
        <f t="shared" si="15"/>
        <v>0.96016817204612903</v>
      </c>
      <c r="AF37" s="23">
        <f t="shared" si="15"/>
        <v>0.91308966635932731</v>
      </c>
      <c r="AG37" s="23">
        <f t="shared" si="15"/>
        <v>0.59904836867561628</v>
      </c>
    </row>
    <row r="38" spans="10:33" x14ac:dyDescent="0.25">
      <c r="V38" s="28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Y27" sqref="Y27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18.944273569261043</v>
      </c>
      <c r="H5" s="4">
        <v>20.990934799549731</v>
      </c>
      <c r="I5" s="4">
        <v>23.39117590643561</v>
      </c>
      <c r="J5" s="4">
        <v>26.229099930013785</v>
      </c>
      <c r="K5" s="4">
        <v>29.616995339142132</v>
      </c>
      <c r="L5" s="4">
        <v>33.705605822659749</v>
      </c>
      <c r="M5" s="4">
        <v>38.701206277730499</v>
      </c>
      <c r="N5" s="4">
        <v>44.892282061714432</v>
      </c>
      <c r="O5" s="4">
        <v>52.692499523828559</v>
      </c>
      <c r="P5" s="4">
        <v>62.712330446678678</v>
      </c>
      <c r="Q5" s="4">
        <v>75.883218512377013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104787.3603406178</v>
      </c>
      <c r="H6" s="4">
        <v>104736.44866412334</v>
      </c>
      <c r="I6" s="4">
        <v>104669.9135550607</v>
      </c>
      <c r="J6" s="4">
        <v>104581.70148547537</v>
      </c>
      <c r="K6" s="4">
        <v>104462.79332359144</v>
      </c>
      <c r="L6" s="4">
        <v>104299.48301972487</v>
      </c>
      <c r="M6" s="4">
        <v>104070.37387641847</v>
      </c>
      <c r="N6" s="4">
        <v>103741.01976956011</v>
      </c>
      <c r="O6" s="4">
        <v>103253.96574011008</v>
      </c>
      <c r="P6" s="4">
        <v>102509.34883194003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-1.2732348092377233E-3</v>
      </c>
      <c r="I11" s="6">
        <f t="shared" ref="I11:P11" si="4">(I13)*(I10-J10)</f>
        <v>-2.0482110433709508E-3</v>
      </c>
      <c r="J11" s="6">
        <f t="shared" si="4"/>
        <v>-2.7170981195736277E-3</v>
      </c>
      <c r="K11" s="6">
        <f t="shared" si="4"/>
        <v>-3.187075863691042E-3</v>
      </c>
      <c r="L11" s="6">
        <f t="shared" si="4"/>
        <v>-3.3530357422154357E-3</v>
      </c>
      <c r="M11" s="6">
        <f t="shared" si="4"/>
        <v>-3.1217401637776807E-3</v>
      </c>
      <c r="N11" s="6">
        <f t="shared" si="4"/>
        <v>-2.4604923851451474E-3</v>
      </c>
      <c r="O11" s="6">
        <f t="shared" si="4"/>
        <v>-1.4735799194372538E-3</v>
      </c>
      <c r="P11" s="6">
        <f t="shared" si="4"/>
        <v>-4.8154230518456062E-4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18.944318656593634</v>
      </c>
      <c r="H13" s="7">
        <f t="shared" ref="H13:Q13" si="5">((G6-H6)/H7+G5*H5)^0.5</f>
        <v>20.990985003017538</v>
      </c>
      <c r="I13" s="7">
        <f t="shared" si="5"/>
        <v>23.391246646933169</v>
      </c>
      <c r="J13" s="7">
        <f t="shared" si="5"/>
        <v>26.229183277055121</v>
      </c>
      <c r="K13" s="7">
        <f t="shared" si="5"/>
        <v>29.617082415144949</v>
      </c>
      <c r="L13" s="7">
        <f t="shared" si="5"/>
        <v>33.705687546343334</v>
      </c>
      <c r="M13" s="7">
        <f t="shared" si="5"/>
        <v>38.70127456379624</v>
      </c>
      <c r="N13" s="7">
        <f t="shared" si="5"/>
        <v>44.892331455419011</v>
      </c>
      <c r="O13" s="7">
        <f t="shared" si="5"/>
        <v>52.692528974875373</v>
      </c>
      <c r="P13" s="7">
        <f t="shared" si="5"/>
        <v>62.712344407440831</v>
      </c>
      <c r="Q13" s="7">
        <f t="shared" si="5"/>
        <v>75.883225852584502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104787.35932845269</v>
      </c>
      <c r="H14" s="4">
        <f>H6+H11</f>
        <v>104736.44739088853</v>
      </c>
      <c r="I14" s="4">
        <f t="shared" ref="I14:Q14" si="6">I6+I11</f>
        <v>104669.91150684966</v>
      </c>
      <c r="J14" s="4">
        <f t="shared" si="6"/>
        <v>104581.69876837725</v>
      </c>
      <c r="K14" s="4">
        <f t="shared" si="6"/>
        <v>104462.79013651557</v>
      </c>
      <c r="L14" s="4">
        <f t="shared" si="6"/>
        <v>104299.47966668912</v>
      </c>
      <c r="M14" s="4">
        <f t="shared" si="6"/>
        <v>104070.3707546783</v>
      </c>
      <c r="N14" s="4">
        <f t="shared" si="6"/>
        <v>103741.01730906773</v>
      </c>
      <c r="O14" s="4">
        <f t="shared" si="6"/>
        <v>103253.96426653017</v>
      </c>
      <c r="P14" s="4">
        <f t="shared" si="6"/>
        <v>102509.34835039773</v>
      </c>
      <c r="Q14" s="2">
        <f t="shared" si="6"/>
        <v>101325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287.98134248836993</v>
      </c>
      <c r="H17" s="7">
        <f t="shared" ref="H17:Q17" si="7">$C$11-(H13^2)/(2*$C$8)</f>
        <v>287.94065439496376</v>
      </c>
      <c r="I17" s="7">
        <f t="shared" si="7"/>
        <v>287.88762324786063</v>
      </c>
      <c r="J17" s="7">
        <f t="shared" si="7"/>
        <v>287.81752187605468</v>
      </c>
      <c r="K17" s="7">
        <f t="shared" si="7"/>
        <v>287.72333553823904</v>
      </c>
      <c r="L17" s="7">
        <f t="shared" si="7"/>
        <v>287.59445172592012</v>
      </c>
      <c r="M17" s="7">
        <f t="shared" si="7"/>
        <v>287.41438637352536</v>
      </c>
      <c r="N17" s="7">
        <f t="shared" si="7"/>
        <v>287.15675357252928</v>
      </c>
      <c r="O17" s="7">
        <f t="shared" si="7"/>
        <v>286.77783024205098</v>
      </c>
      <c r="P17" s="7">
        <f t="shared" si="7"/>
        <v>286.20219527027211</v>
      </c>
      <c r="Q17" s="7">
        <f t="shared" si="7"/>
        <v>285.29348070201399</v>
      </c>
    </row>
    <row r="18" spans="6:17" x14ac:dyDescent="0.25">
      <c r="F18" s="4" t="s">
        <v>17</v>
      </c>
      <c r="G18" s="8">
        <f>SQRT($C$6*$C$7*G17)</f>
        <v>340.14646043021156</v>
      </c>
      <c r="H18" s="8">
        <f t="shared" ref="H18:Q18" si="8">SQRT($C$6*$C$7*H17)</f>
        <v>340.12243040153078</v>
      </c>
      <c r="I18" s="8">
        <f t="shared" si="8"/>
        <v>340.091108125689</v>
      </c>
      <c r="J18" s="8">
        <f t="shared" si="8"/>
        <v>340.04969907785716</v>
      </c>
      <c r="K18" s="8">
        <f t="shared" si="8"/>
        <v>339.9940550428953</v>
      </c>
      <c r="L18" s="8">
        <f t="shared" si="8"/>
        <v>339.91789744137782</v>
      </c>
      <c r="M18" s="8">
        <f t="shared" si="8"/>
        <v>339.8114680244571</v>
      </c>
      <c r="N18" s="8">
        <f t="shared" si="8"/>
        <v>339.65913360412111</v>
      </c>
      <c r="O18" s="8">
        <f t="shared" si="8"/>
        <v>339.43495768749364</v>
      </c>
      <c r="P18" s="8">
        <f t="shared" si="8"/>
        <v>339.0941210542299</v>
      </c>
      <c r="Q18" s="8">
        <f t="shared" si="8"/>
        <v>338.55536776371702</v>
      </c>
    </row>
    <row r="19" spans="6:17" x14ac:dyDescent="0.25">
      <c r="F19" s="4" t="s">
        <v>18</v>
      </c>
      <c r="G19" s="6">
        <f>G13/G18</f>
        <v>5.5694592948676215E-2</v>
      </c>
      <c r="H19" s="6">
        <f t="shared" ref="H19:Q19" si="9">H13/H18</f>
        <v>6.1715967918483584E-2</v>
      </c>
      <c r="I19" s="6">
        <f t="shared" si="9"/>
        <v>6.8779353790950515E-2</v>
      </c>
      <c r="J19" s="6">
        <f t="shared" si="9"/>
        <v>7.713338182090182E-2</v>
      </c>
      <c r="K19" s="6">
        <f t="shared" si="9"/>
        <v>8.7110589070177463E-2</v>
      </c>
      <c r="L19" s="6">
        <f t="shared" si="9"/>
        <v>9.9158319700292361E-2</v>
      </c>
      <c r="M19" s="6">
        <f t="shared" si="9"/>
        <v>0.11389043103457241</v>
      </c>
      <c r="N19" s="6">
        <f t="shared" si="9"/>
        <v>0.13216877455661721</v>
      </c>
      <c r="O19" s="6">
        <f t="shared" si="9"/>
        <v>0.15523601144048227</v>
      </c>
      <c r="P19" s="6">
        <f t="shared" si="9"/>
        <v>0.18494081882773636</v>
      </c>
      <c r="Q19" s="6">
        <f t="shared" si="9"/>
        <v>0.22413830373986146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D25" sqref="D25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17.965677749011054</v>
      </c>
      <c r="H5" s="4">
        <v>19.913413805299584</v>
      </c>
      <c r="I5" s="4">
        <v>22.200045404994878</v>
      </c>
      <c r="J5" s="4">
        <v>24.90816735873263</v>
      </c>
      <c r="K5" s="4">
        <v>28.148271200498691</v>
      </c>
      <c r="L5" s="4">
        <v>32.070248179569305</v>
      </c>
      <c r="M5" s="4">
        <v>36.882190050039029</v>
      </c>
      <c r="N5" s="4">
        <v>42.881135090875794</v>
      </c>
      <c r="O5" s="4">
        <v>50.505904672857866</v>
      </c>
      <c r="P5" s="4">
        <v>60.433923409349447</v>
      </c>
      <c r="Q5" s="4">
        <v>73.774957760448117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104795.37046284738</v>
      </c>
      <c r="H6" s="4">
        <v>104746.20531791639</v>
      </c>
      <c r="I6" s="4">
        <v>104681.8857714749</v>
      </c>
      <c r="J6" s="4">
        <v>104596.46859521579</v>
      </c>
      <c r="K6" s="4">
        <v>104481.07197642179</v>
      </c>
      <c r="L6" s="4">
        <v>104322.10705669131</v>
      </c>
      <c r="M6" s="4">
        <v>104098.16192725667</v>
      </c>
      <c r="N6" s="4">
        <v>103774.30941407706</v>
      </c>
      <c r="O6" s="4">
        <v>103291.16099902632</v>
      </c>
      <c r="P6" s="4">
        <v>102542.43320918738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1.2679762066181028</v>
      </c>
      <c r="H7" s="4">
        <v>1.2675429764889037</v>
      </c>
      <c r="I7" s="4">
        <v>1.2669755575208037</v>
      </c>
      <c r="J7" s="4">
        <v>1.266221046615267</v>
      </c>
      <c r="K7" s="4">
        <v>1.2652002232214405</v>
      </c>
      <c r="L7" s="4">
        <v>1.2637915969220439</v>
      </c>
      <c r="M7" s="4">
        <v>1.2618031955055427</v>
      </c>
      <c r="N7" s="4">
        <v>1.2589207925658019</v>
      </c>
      <c r="O7" s="4">
        <v>1.2546077778956615</v>
      </c>
      <c r="P7" s="4">
        <v>1.2478984257538666</v>
      </c>
      <c r="Q7" s="4">
        <v>1.2369330813723052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-1.0889196349907187E-3</v>
      </c>
      <c r="I11" s="6">
        <f t="shared" ref="I11:P11" si="4">(I13)*(I10-J10)</f>
        <v>-1.9240748799069811E-3</v>
      </c>
      <c r="J11" s="6">
        <f t="shared" si="4"/>
        <v>-2.6738348971043738E-3</v>
      </c>
      <c r="K11" s="6">
        <f t="shared" si="4"/>
        <v>-3.242312397185585E-3</v>
      </c>
      <c r="L11" s="6">
        <f t="shared" si="4"/>
        <v>-3.5142234567933513E-3</v>
      </c>
      <c r="M11" s="6">
        <f t="shared" si="4"/>
        <v>-3.3756138165896474E-3</v>
      </c>
      <c r="N11" s="6">
        <f t="shared" si="4"/>
        <v>-2.7613010784255558E-3</v>
      </c>
      <c r="O11" s="6">
        <f t="shared" si="4"/>
        <v>-1.7391593581165643E-3</v>
      </c>
      <c r="P11" s="6">
        <f t="shared" si="4"/>
        <v>-6.1975471239774076E-4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17.96571550535436</v>
      </c>
      <c r="H13" s="7">
        <f t="shared" ref="H13:P13" si="5">((G6-H6)/H7+G5*H5)^0.5</f>
        <v>19.913455981592517</v>
      </c>
      <c r="I13" s="7">
        <f t="shared" si="5"/>
        <v>22.200110360834749</v>
      </c>
      <c r="J13" s="7">
        <f t="shared" si="5"/>
        <v>24.908247456591255</v>
      </c>
      <c r="K13" s="7">
        <f t="shared" si="5"/>
        <v>28.148357627262506</v>
      </c>
      <c r="L13" s="7">
        <f t="shared" si="5"/>
        <v>32.070331583152644</v>
      </c>
      <c r="M13" s="7">
        <f t="shared" si="5"/>
        <v>36.882261654019779</v>
      </c>
      <c r="N13" s="7">
        <f t="shared" si="5"/>
        <v>42.881188334412563</v>
      </c>
      <c r="O13" s="7">
        <f t="shared" si="5"/>
        <v>50.505937196002144</v>
      </c>
      <c r="P13" s="7">
        <f t="shared" si="5"/>
        <v>60.433938702113757</v>
      </c>
      <c r="Q13" s="7">
        <f>((P6-Q6)/Q7+P5*Q5)^0.5</f>
        <v>73.774964942658258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104795.36960394381</v>
      </c>
      <c r="H14" s="9">
        <f>H6+H11</f>
        <v>104746.20422899675</v>
      </c>
      <c r="I14" s="9">
        <f t="shared" ref="I14:Q14" si="6">I6+I11</f>
        <v>104681.88384740002</v>
      </c>
      <c r="J14" s="9">
        <f t="shared" si="6"/>
        <v>104596.46592138089</v>
      </c>
      <c r="K14" s="9">
        <f t="shared" si="6"/>
        <v>104481.0687341094</v>
      </c>
      <c r="L14" s="9">
        <f t="shared" si="6"/>
        <v>104322.10354246786</v>
      </c>
      <c r="M14" s="9">
        <f t="shared" si="6"/>
        <v>104098.15855164286</v>
      </c>
      <c r="N14" s="9">
        <f t="shared" si="6"/>
        <v>103774.30665277598</v>
      </c>
      <c r="O14" s="9">
        <f t="shared" si="6"/>
        <v>103291.15925986697</v>
      </c>
      <c r="P14" s="9">
        <f t="shared" si="6"/>
        <v>102542.43258943266</v>
      </c>
      <c r="Q14" s="9">
        <f t="shared" si="6"/>
        <v>101325</v>
      </c>
    </row>
    <row r="15" spans="2:17" x14ac:dyDescent="0.25">
      <c r="F15" s="4" t="s">
        <v>13</v>
      </c>
      <c r="G15" s="4">
        <f>G14/($C$7*G17)</f>
        <v>1.2679761991991174</v>
      </c>
      <c r="H15" s="4">
        <f t="shared" ref="H15:Q15" si="7">H14/($C$7*H17)</f>
        <v>1.267542966992526</v>
      </c>
      <c r="I15" s="4">
        <f t="shared" si="7"/>
        <v>1.2669755405513954</v>
      </c>
      <c r="J15" s="4">
        <f t="shared" si="7"/>
        <v>1.2662210229841522</v>
      </c>
      <c r="K15" s="4">
        <f t="shared" si="7"/>
        <v>1.2652001946082072</v>
      </c>
      <c r="L15" s="4">
        <f t="shared" si="7"/>
        <v>1.2637915660498549</v>
      </c>
      <c r="M15" s="4">
        <f t="shared" si="7"/>
        <v>1.2618031661293456</v>
      </c>
      <c r="N15" s="4">
        <f t="shared" si="7"/>
        <v>1.2589207690301487</v>
      </c>
      <c r="O15" s="4">
        <f t="shared" si="7"/>
        <v>1.2546077639231541</v>
      </c>
      <c r="P15" s="4">
        <f t="shared" si="7"/>
        <v>1.2478984222218048</v>
      </c>
      <c r="Q15" s="4">
        <f t="shared" si="7"/>
        <v>1.2369330836583028</v>
      </c>
    </row>
    <row r="17" spans="6:17" x14ac:dyDescent="0.25">
      <c r="F17" s="4" t="s">
        <v>16</v>
      </c>
      <c r="G17" s="7">
        <f>$C$11-(G13^2)/(2*$C$8)</f>
        <v>287.99932350974746</v>
      </c>
      <c r="H17" s="7">
        <f t="shared" ref="H17:Q17" si="8">$C$11-(H13^2)/(2*$C$8)</f>
        <v>287.96259571429175</v>
      </c>
      <c r="I17" s="7">
        <f t="shared" si="8"/>
        <v>287.91465705892415</v>
      </c>
      <c r="J17" s="7">
        <f t="shared" si="8"/>
        <v>287.85114855069759</v>
      </c>
      <c r="K17" s="7">
        <f t="shared" si="8"/>
        <v>287.76557047136987</v>
      </c>
      <c r="L17" s="7">
        <f t="shared" si="8"/>
        <v>287.64799971731713</v>
      </c>
      <c r="M17" s="7">
        <f t="shared" si="8"/>
        <v>287.4828289403049</v>
      </c>
      <c r="N17" s="7">
        <f t="shared" si="8"/>
        <v>287.24462947382949</v>
      </c>
      <c r="O17" s="7">
        <f t="shared" si="8"/>
        <v>286.89016243924408</v>
      </c>
      <c r="P17" s="7">
        <f t="shared" si="8"/>
        <v>286.34186930154777</v>
      </c>
      <c r="Q17" s="7">
        <f t="shared" si="8"/>
        <v>285.45054885887572</v>
      </c>
    </row>
    <row r="18" spans="6:17" x14ac:dyDescent="0.25">
      <c r="F18" s="4" t="s">
        <v>17</v>
      </c>
      <c r="G18" s="8">
        <f>SQRT($C$6*$C$7*G17)</f>
        <v>340.15707932179646</v>
      </c>
      <c r="H18" s="8">
        <f t="shared" ref="H18:Q18" si="9">SQRT($C$6*$C$7*H17)</f>
        <v>340.13538896188152</v>
      </c>
      <c r="I18" s="8">
        <f t="shared" si="9"/>
        <v>340.10707571545612</v>
      </c>
      <c r="J18" s="8">
        <f t="shared" si="9"/>
        <v>340.06956306415765</v>
      </c>
      <c r="K18" s="8">
        <f t="shared" si="9"/>
        <v>340.01900800548481</v>
      </c>
      <c r="L18" s="8">
        <f t="shared" si="9"/>
        <v>339.94954108636341</v>
      </c>
      <c r="M18" s="8">
        <f t="shared" si="9"/>
        <v>339.85192561072836</v>
      </c>
      <c r="N18" s="8">
        <f t="shared" si="9"/>
        <v>339.71110098598382</v>
      </c>
      <c r="O18" s="8">
        <f t="shared" si="9"/>
        <v>339.50143029701752</v>
      </c>
      <c r="P18" s="8">
        <f t="shared" si="9"/>
        <v>339.1768542870891</v>
      </c>
      <c r="Q18" s="8">
        <f t="shared" si="9"/>
        <v>338.64855066865556</v>
      </c>
    </row>
    <row r="19" spans="6:17" x14ac:dyDescent="0.25">
      <c r="F19" s="4" t="s">
        <v>18</v>
      </c>
      <c r="G19" s="6">
        <f>G13/G18</f>
        <v>5.2815938863228475E-2</v>
      </c>
      <c r="H19" s="6">
        <f t="shared" ref="H19:P19" si="10">H13/H18</f>
        <v>5.8545675127689191E-2</v>
      </c>
      <c r="I19" s="6">
        <f t="shared" si="10"/>
        <v>6.5273885625972791E-2</v>
      </c>
      <c r="J19" s="6">
        <f t="shared" si="10"/>
        <v>7.3244565706375955E-2</v>
      </c>
      <c r="K19" s="6">
        <f t="shared" si="10"/>
        <v>8.2784658988265883E-2</v>
      </c>
      <c r="L19" s="6">
        <f t="shared" si="10"/>
        <v>9.4338505298953323E-2</v>
      </c>
      <c r="M19" s="6">
        <f t="shared" si="10"/>
        <v>0.10852450398137596</v>
      </c>
      <c r="N19" s="6">
        <f t="shared" si="10"/>
        <v>0.12622839880696687</v>
      </c>
      <c r="O19" s="6">
        <f t="shared" si="10"/>
        <v>0.14876502037654546</v>
      </c>
      <c r="P19" s="6">
        <f t="shared" si="10"/>
        <v>0.17817825107535409</v>
      </c>
      <c r="Q19" s="6">
        <f>Q13/Q18</f>
        <v>0.21785111673146362</v>
      </c>
    </row>
    <row r="20" spans="6:17" x14ac:dyDescent="0.25">
      <c r="F20" s="4" t="s">
        <v>19</v>
      </c>
      <c r="G20" s="4">
        <f>1-((($C$6-1)/($C$6+1))*G21^2)</f>
        <v>0.9994451906278492</v>
      </c>
      <c r="H20" s="4">
        <f t="shared" ref="H20:Q20" si="11">1-((($C$6-1)/($C$6+1))*H21^2)</f>
        <v>0.99931914815499334</v>
      </c>
      <c r="I20" s="4">
        <f t="shared" si="11"/>
        <v>0.99915506397534504</v>
      </c>
      <c r="J20" s="4">
        <f t="shared" si="11"/>
        <v>0.99893843679612382</v>
      </c>
      <c r="K20" s="4">
        <f t="shared" si="11"/>
        <v>0.99864787310904413</v>
      </c>
      <c r="L20" s="4">
        <f t="shared" si="11"/>
        <v>0.99825117746287018</v>
      </c>
      <c r="M20" s="4">
        <f t="shared" si="11"/>
        <v>0.99769869398315969</v>
      </c>
      <c r="N20" s="4">
        <f t="shared" si="11"/>
        <v>0.99691169398586221</v>
      </c>
      <c r="O20" s="4">
        <f t="shared" si="11"/>
        <v>0.99576140279709935</v>
      </c>
      <c r="P20" s="4">
        <f t="shared" si="11"/>
        <v>0.9940295930298334</v>
      </c>
      <c r="Q20" s="4">
        <f t="shared" si="11"/>
        <v>0.99133102212098823</v>
      </c>
    </row>
    <row r="21" spans="6:17" x14ac:dyDescent="0.25">
      <c r="F21" s="4" t="s">
        <v>21</v>
      </c>
      <c r="G21" s="4">
        <f>SQRT(((($C$6+1)/2)*G19^2)/(1+2*G19^2))</f>
        <v>5.7696241063908013E-2</v>
      </c>
      <c r="H21" s="4">
        <f>SQRT(((($C$6+1)/2)*H19^2)/(1+2*H19^2))</f>
        <v>6.3914873621400858E-2</v>
      </c>
      <c r="I21" s="4">
        <f t="shared" ref="I21:Q21" si="12">SQRT(((($C$6+1)/2)*I19^2)/(1+2*I19^2))</f>
        <v>7.1201236983141639E-2</v>
      </c>
      <c r="J21" s="4">
        <f t="shared" si="12"/>
        <v>7.9808390682038655E-2</v>
      </c>
      <c r="K21" s="4">
        <f t="shared" si="12"/>
        <v>9.007086846331129E-2</v>
      </c>
      <c r="L21" s="4">
        <f t="shared" si="12"/>
        <v>0.10243502927601809</v>
      </c>
      <c r="M21" s="4">
        <f t="shared" si="12"/>
        <v>0.11750674917229943</v>
      </c>
      <c r="N21" s="4">
        <f t="shared" si="12"/>
        <v>0.13612434053036448</v>
      </c>
      <c r="O21" s="4">
        <f t="shared" si="12"/>
        <v>0.15947282908823032</v>
      </c>
      <c r="P21" s="4">
        <f t="shared" si="12"/>
        <v>0.18926817434793303</v>
      </c>
      <c r="Q21" s="4">
        <f t="shared" si="12"/>
        <v>0.22806548900276599</v>
      </c>
    </row>
    <row r="22" spans="6:17" x14ac:dyDescent="0.25">
      <c r="F22" s="4" t="s">
        <v>20</v>
      </c>
      <c r="G22" s="4">
        <f>(1-((($C$6-1)/($C$6+1))*G21^2))^($C$6/($C$6-1))</f>
        <v>0.99805951350771915</v>
      </c>
      <c r="H22" s="4">
        <f t="shared" ref="H22:Q22" si="13">(1-((($C$6-1)/($C$6+1))*H21^2))^($C$6/($C$6-1))</f>
        <v>0.99761904592377981</v>
      </c>
      <c r="I22" s="4">
        <f t="shared" si="13"/>
        <v>0.99704584598069135</v>
      </c>
      <c r="J22" s="4">
        <f t="shared" si="13"/>
        <v>0.99628945642929645</v>
      </c>
      <c r="K22" s="4">
        <f t="shared" si="13"/>
        <v>0.99527554905621063</v>
      </c>
      <c r="L22" s="4">
        <f t="shared" si="13"/>
        <v>0.99389248983628464</v>
      </c>
      <c r="M22" s="4">
        <f t="shared" si="13"/>
        <v>0.99196857232910385</v>
      </c>
      <c r="N22" s="4">
        <f t="shared" si="13"/>
        <v>0.98923259169120825</v>
      </c>
      <c r="O22" s="4">
        <f t="shared" si="13"/>
        <v>0.98524334326618301</v>
      </c>
      <c r="P22" s="4">
        <f t="shared" si="13"/>
        <v>0.97925906060631596</v>
      </c>
      <c r="Q22" s="4">
        <f t="shared" si="13"/>
        <v>0.96998594024949014</v>
      </c>
    </row>
    <row r="23" spans="6:17" x14ac:dyDescent="0.25">
      <c r="F23" s="4" t="s">
        <v>5</v>
      </c>
      <c r="G23" s="4">
        <f>G14/G22</f>
        <v>104999.11897601816</v>
      </c>
      <c r="H23" s="4">
        <f t="shared" ref="H23:Q23" si="14">H14/H22</f>
        <v>104996.19534829889</v>
      </c>
      <c r="I23" s="4">
        <f t="shared" si="14"/>
        <v>104992.04652363325</v>
      </c>
      <c r="J23" s="4">
        <f t="shared" si="14"/>
        <v>104986.02112708775</v>
      </c>
      <c r="K23" s="4">
        <f t="shared" si="14"/>
        <v>104977.02755099892</v>
      </c>
      <c r="L23" s="4">
        <f t="shared" si="14"/>
        <v>104963.16715266854</v>
      </c>
      <c r="M23" s="4">
        <f t="shared" si="14"/>
        <v>104940.9844781921</v>
      </c>
      <c r="N23" s="4">
        <f t="shared" si="14"/>
        <v>104903.84923060585</v>
      </c>
      <c r="O23" s="4">
        <f t="shared" si="14"/>
        <v>104838.22089824647</v>
      </c>
      <c r="P23" s="4">
        <f t="shared" si="14"/>
        <v>104714.30565671019</v>
      </c>
      <c r="Q23" s="4">
        <f t="shared" si="14"/>
        <v>104460.27699529148</v>
      </c>
    </row>
    <row r="30" spans="6:17" x14ac:dyDescent="0.25">
      <c r="L30" s="12"/>
      <c r="M30" s="12"/>
      <c r="N30" s="12"/>
      <c r="O30" s="12"/>
      <c r="P30" s="12"/>
      <c r="Q30" s="12"/>
    </row>
    <row r="31" spans="6:17" x14ac:dyDescent="0.25">
      <c r="L31" s="12"/>
      <c r="M31" s="12"/>
      <c r="N31" s="12"/>
      <c r="O31" s="12"/>
      <c r="P31" s="12"/>
      <c r="Q31" s="12"/>
    </row>
    <row r="32" spans="6:17" x14ac:dyDescent="0.25">
      <c r="L32" s="12"/>
      <c r="M32" s="12"/>
      <c r="N32" s="12"/>
      <c r="O32" s="12"/>
      <c r="P32" s="12"/>
      <c r="Q32" s="12"/>
    </row>
    <row r="33" spans="12:17" x14ac:dyDescent="0.25">
      <c r="L33" s="12"/>
      <c r="M33" s="12"/>
      <c r="N33" s="12"/>
      <c r="O33" s="12"/>
      <c r="P33" s="12"/>
      <c r="Q3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ro_const_p_215</vt:lpstr>
      <vt:lpstr>ro_var_p_215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2021-05-23T10:47:18Z</dcterms:modified>
</cp:coreProperties>
</file>