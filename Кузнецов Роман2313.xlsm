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0" yWindow="0" windowWidth="51600" windowHeight="17835"/>
  </bookViews>
  <sheets>
    <sheet name="ro_const_p_135" sheetId="1" r:id="rId1"/>
    <sheet name="ro_var_p_135" sheetId="2" r:id="rId2"/>
    <sheet name="ro_const_p_105" sheetId="3" r:id="rId3"/>
    <sheet name="ro_var_p_105" sheetId="4" r:id="rId4"/>
  </sheets>
  <calcPr calcId="152511"/>
</workbook>
</file>

<file path=xl/calcChain.xml><?xml version="1.0" encoding="utf-8"?>
<calcChain xmlns="http://schemas.openxmlformats.org/spreadsheetml/2006/main">
  <c r="Q13" i="4" l="1"/>
  <c r="Q19" i="4"/>
  <c r="Q14" i="4"/>
  <c r="Q17" i="4"/>
  <c r="Q18" i="4" s="1"/>
  <c r="Q21" i="4" s="1"/>
  <c r="P13" i="4"/>
  <c r="P17" i="4" s="1"/>
  <c r="P18" i="4" s="1"/>
  <c r="O13" i="4"/>
  <c r="O17" i="4" s="1"/>
  <c r="O18" i="4" s="1"/>
  <c r="N13" i="4"/>
  <c r="N17" i="4" s="1"/>
  <c r="N18" i="4" s="1"/>
  <c r="N19" i="4" s="1"/>
  <c r="N21" i="4" s="1"/>
  <c r="M13" i="4"/>
  <c r="M17" i="4" s="1"/>
  <c r="M18" i="4" s="1"/>
  <c r="M19" i="4" s="1"/>
  <c r="M21" i="4" s="1"/>
  <c r="L13" i="4"/>
  <c r="L17" i="4" s="1"/>
  <c r="L18" i="4" s="1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I19" i="4" s="1"/>
  <c r="I21" i="4" s="1"/>
  <c r="H13" i="4"/>
  <c r="H17" i="4" s="1"/>
  <c r="H18" i="4" s="1"/>
  <c r="Q4" i="4"/>
  <c r="G4" i="4"/>
  <c r="C4" i="4"/>
  <c r="H3" i="4"/>
  <c r="I3" i="4" s="1"/>
  <c r="H2" i="4"/>
  <c r="I2" i="4" s="1"/>
  <c r="J2" i="4" s="1"/>
  <c r="K2" i="4" s="1"/>
  <c r="L2" i="4" s="1"/>
  <c r="M2" i="4" s="1"/>
  <c r="N2" i="4" s="1"/>
  <c r="O2" i="4" s="1"/>
  <c r="P2" i="4" s="1"/>
  <c r="Q2" i="4" s="1"/>
  <c r="Q14" i="3"/>
  <c r="Q13" i="3"/>
  <c r="Q17" i="3" s="1"/>
  <c r="Q18" i="3" s="1"/>
  <c r="P13" i="3"/>
  <c r="P17" i="3" s="1"/>
  <c r="P18" i="3" s="1"/>
  <c r="O13" i="3"/>
  <c r="N13" i="3"/>
  <c r="M13" i="3"/>
  <c r="M17" i="3" s="1"/>
  <c r="M18" i="3" s="1"/>
  <c r="L13" i="3"/>
  <c r="L17" i="3" s="1"/>
  <c r="L18" i="3" s="1"/>
  <c r="K13" i="3"/>
  <c r="J13" i="3"/>
  <c r="I13" i="3"/>
  <c r="I17" i="3" s="1"/>
  <c r="I18" i="3" s="1"/>
  <c r="H13" i="3"/>
  <c r="H17" i="3" s="1"/>
  <c r="H18" i="3" s="1"/>
  <c r="Q4" i="3"/>
  <c r="G4" i="3"/>
  <c r="C4" i="3"/>
  <c r="H2" i="3" s="1"/>
  <c r="I2" i="3" s="1"/>
  <c r="J2" i="3" s="1"/>
  <c r="K2" i="3" s="1"/>
  <c r="L2" i="3" s="1"/>
  <c r="M2" i="3" s="1"/>
  <c r="N2" i="3" s="1"/>
  <c r="O2" i="3" s="1"/>
  <c r="P2" i="3" s="1"/>
  <c r="Q2" i="3" s="1"/>
  <c r="H3" i="3"/>
  <c r="I3" i="3" s="1"/>
  <c r="I4" i="3" s="1"/>
  <c r="Q14" i="2"/>
  <c r="Q13" i="2"/>
  <c r="Q17" i="2" s="1"/>
  <c r="Q18" i="2" s="1"/>
  <c r="P13" i="2"/>
  <c r="O13" i="2"/>
  <c r="O17" i="2" s="1"/>
  <c r="O18" i="2" s="1"/>
  <c r="N13" i="2"/>
  <c r="M13" i="2"/>
  <c r="L13" i="2"/>
  <c r="L17" i="2" s="1"/>
  <c r="L18" i="2" s="1"/>
  <c r="K13" i="2"/>
  <c r="K17" i="2" s="1"/>
  <c r="K18" i="2" s="1"/>
  <c r="J13" i="2"/>
  <c r="J17" i="2" s="1"/>
  <c r="J18" i="2" s="1"/>
  <c r="I13" i="2"/>
  <c r="I17" i="2" s="1"/>
  <c r="I18" i="2" s="1"/>
  <c r="H13" i="2"/>
  <c r="H17" i="2" s="1"/>
  <c r="H18" i="2" s="1"/>
  <c r="Q4" i="2"/>
  <c r="G4" i="2"/>
  <c r="C4" i="2"/>
  <c r="H3" i="2"/>
  <c r="H4" i="2" s="1"/>
  <c r="H2" i="2"/>
  <c r="I2" i="2" s="1"/>
  <c r="J2" i="2" s="1"/>
  <c r="K2" i="2" s="1"/>
  <c r="L2" i="2" s="1"/>
  <c r="M2" i="2" s="1"/>
  <c r="N2" i="2" s="1"/>
  <c r="O2" i="2" s="1"/>
  <c r="P2" i="2" s="1"/>
  <c r="Q2" i="2" s="1"/>
  <c r="Q14" i="1"/>
  <c r="M13" i="1"/>
  <c r="M17" i="1" s="1"/>
  <c r="M18" i="1" s="1"/>
  <c r="M19" i="1" s="1"/>
  <c r="L13" i="1"/>
  <c r="K13" i="1"/>
  <c r="J13" i="1"/>
  <c r="J10" i="1" s="1"/>
  <c r="I13" i="1"/>
  <c r="I17" i="1" s="1"/>
  <c r="I18" i="1" s="1"/>
  <c r="I19" i="1" s="1"/>
  <c r="N13" i="1"/>
  <c r="O13" i="1"/>
  <c r="P13" i="1"/>
  <c r="P17" i="1" s="1"/>
  <c r="P18" i="1" s="1"/>
  <c r="P19" i="1" s="1"/>
  <c r="Q13" i="1"/>
  <c r="Q17" i="1" s="1"/>
  <c r="Q18" i="1" s="1"/>
  <c r="Q19" i="1" s="1"/>
  <c r="H13" i="1"/>
  <c r="H4" i="1"/>
  <c r="G13" i="1" s="1"/>
  <c r="G14" i="1" s="1"/>
  <c r="I4" i="1"/>
  <c r="J4" i="1"/>
  <c r="K4" i="1"/>
  <c r="L4" i="1"/>
  <c r="M4" i="1"/>
  <c r="N4" i="1"/>
  <c r="Q4" i="1"/>
  <c r="G4" i="1"/>
  <c r="I3" i="1"/>
  <c r="J3" i="1"/>
  <c r="K3" i="1" s="1"/>
  <c r="L3" i="1" s="1"/>
  <c r="M3" i="1" s="1"/>
  <c r="N3" i="1" s="1"/>
  <c r="O3" i="1" s="1"/>
  <c r="P3" i="1" s="1"/>
  <c r="P4" i="1" s="1"/>
  <c r="H3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I4" i="4" l="1"/>
  <c r="J3" i="4"/>
  <c r="K3" i="4" s="1"/>
  <c r="H4" i="3"/>
  <c r="G13" i="3" s="1"/>
  <c r="I3" i="2"/>
  <c r="H4" i="4"/>
  <c r="G13" i="4" s="1"/>
  <c r="O4" i="1"/>
  <c r="O10" i="1" s="1"/>
  <c r="H10" i="1"/>
  <c r="G10" i="1"/>
  <c r="I10" i="4"/>
  <c r="K19" i="4"/>
  <c r="K21" i="4" s="1"/>
  <c r="K20" i="4" s="1"/>
  <c r="Q10" i="4"/>
  <c r="O19" i="4"/>
  <c r="O21" i="4" s="1"/>
  <c r="O20" i="4" s="1"/>
  <c r="I22" i="4"/>
  <c r="I20" i="4"/>
  <c r="Q22" i="4"/>
  <c r="Q23" i="4" s="1"/>
  <c r="Q20" i="4"/>
  <c r="J22" i="4"/>
  <c r="J20" i="4"/>
  <c r="L3" i="4"/>
  <c r="K4" i="4"/>
  <c r="K10" i="4" s="1"/>
  <c r="Q15" i="4"/>
  <c r="G14" i="4"/>
  <c r="G17" i="4"/>
  <c r="G18" i="4" s="1"/>
  <c r="G19" i="4" s="1"/>
  <c r="G21" i="4" s="1"/>
  <c r="N22" i="4"/>
  <c r="N20" i="4"/>
  <c r="M22" i="4"/>
  <c r="M20" i="4"/>
  <c r="G10" i="4"/>
  <c r="H10" i="4"/>
  <c r="H11" i="4" s="1"/>
  <c r="H14" i="4" s="1"/>
  <c r="J4" i="4"/>
  <c r="J10" i="4" s="1"/>
  <c r="H19" i="4"/>
  <c r="H21" i="4" s="1"/>
  <c r="L19" i="4"/>
  <c r="L21" i="4" s="1"/>
  <c r="P19" i="4"/>
  <c r="P21" i="4" s="1"/>
  <c r="I10" i="3"/>
  <c r="Q10" i="3"/>
  <c r="O17" i="3"/>
  <c r="O18" i="3" s="1"/>
  <c r="O19" i="3" s="1"/>
  <c r="K17" i="3"/>
  <c r="K18" i="3" s="1"/>
  <c r="K19" i="3" s="1"/>
  <c r="G14" i="3"/>
  <c r="G10" i="3"/>
  <c r="G17" i="3"/>
  <c r="G18" i="3" s="1"/>
  <c r="G19" i="3" s="1"/>
  <c r="I19" i="3"/>
  <c r="M19" i="3"/>
  <c r="Q19" i="3"/>
  <c r="J3" i="3"/>
  <c r="H10" i="3"/>
  <c r="J17" i="3"/>
  <c r="J18" i="3" s="1"/>
  <c r="J19" i="3" s="1"/>
  <c r="N17" i="3"/>
  <c r="N18" i="3" s="1"/>
  <c r="N19" i="3" s="1"/>
  <c r="H19" i="3"/>
  <c r="L19" i="3"/>
  <c r="P19" i="3"/>
  <c r="Q15" i="2"/>
  <c r="Q10" i="2"/>
  <c r="J19" i="2"/>
  <c r="J21" i="2" s="1"/>
  <c r="N17" i="2"/>
  <c r="I19" i="2"/>
  <c r="I21" i="2" s="1"/>
  <c r="Q19" i="2"/>
  <c r="Q21" i="2" s="1"/>
  <c r="M17" i="2"/>
  <c r="G13" i="2"/>
  <c r="H10" i="2"/>
  <c r="H19" i="2"/>
  <c r="H21" i="2" s="1"/>
  <c r="L19" i="2"/>
  <c r="L21" i="2" s="1"/>
  <c r="K19" i="2"/>
  <c r="K21" i="2" s="1"/>
  <c r="O19" i="2"/>
  <c r="O21" i="2" s="1"/>
  <c r="P17" i="2"/>
  <c r="J17" i="1"/>
  <c r="J18" i="1" s="1"/>
  <c r="J19" i="1" s="1"/>
  <c r="P10" i="1"/>
  <c r="Q10" i="1"/>
  <c r="G17" i="1"/>
  <c r="G18" i="1" s="1"/>
  <c r="G19" i="1" s="1"/>
  <c r="I10" i="1"/>
  <c r="I11" i="1" s="1"/>
  <c r="I14" i="1" s="1"/>
  <c r="M10" i="1"/>
  <c r="L10" i="1"/>
  <c r="N17" i="1"/>
  <c r="N18" i="1" s="1"/>
  <c r="N19" i="1" s="1"/>
  <c r="N10" i="1"/>
  <c r="L17" i="1"/>
  <c r="L18" i="1" s="1"/>
  <c r="L19" i="1" s="1"/>
  <c r="O17" i="1"/>
  <c r="O18" i="1" s="1"/>
  <c r="O19" i="1" s="1"/>
  <c r="K17" i="1"/>
  <c r="K18" i="1" s="1"/>
  <c r="K19" i="1" s="1"/>
  <c r="H17" i="1"/>
  <c r="H18" i="1" s="1"/>
  <c r="H19" i="1" s="1"/>
  <c r="K10" i="1"/>
  <c r="J11" i="1" s="1"/>
  <c r="J14" i="1" s="1"/>
  <c r="I4" i="2" l="1"/>
  <c r="I10" i="2" s="1"/>
  <c r="J3" i="2"/>
  <c r="H11" i="1"/>
  <c r="H14" i="1" s="1"/>
  <c r="K22" i="4"/>
  <c r="O22" i="4"/>
  <c r="J11" i="4"/>
  <c r="J14" i="4" s="1"/>
  <c r="J15" i="4" s="1"/>
  <c r="H15" i="4"/>
  <c r="G20" i="4"/>
  <c r="G22" i="4"/>
  <c r="G23" i="4" s="1"/>
  <c r="H20" i="4"/>
  <c r="H22" i="4"/>
  <c r="H23" i="4" s="1"/>
  <c r="G15" i="4"/>
  <c r="L4" i="4"/>
  <c r="L10" i="4" s="1"/>
  <c r="K11" i="4" s="1"/>
  <c r="K14" i="4" s="1"/>
  <c r="M3" i="4"/>
  <c r="L20" i="4"/>
  <c r="L22" i="4"/>
  <c r="P20" i="4"/>
  <c r="P22" i="4"/>
  <c r="I11" i="4"/>
  <c r="I14" i="4" s="1"/>
  <c r="H11" i="3"/>
  <c r="H14" i="3" s="1"/>
  <c r="K3" i="3"/>
  <c r="J4" i="3"/>
  <c r="J10" i="3" s="1"/>
  <c r="G10" i="2"/>
  <c r="G14" i="2"/>
  <c r="H11" i="2"/>
  <c r="H14" i="2" s="1"/>
  <c r="H15" i="2" s="1"/>
  <c r="N18" i="2"/>
  <c r="N19" i="2" s="1"/>
  <c r="N21" i="2" s="1"/>
  <c r="N22" i="2" s="1"/>
  <c r="M18" i="2"/>
  <c r="M19" i="2" s="1"/>
  <c r="M21" i="2" s="1"/>
  <c r="M20" i="2" s="1"/>
  <c r="P18" i="2"/>
  <c r="P19" i="2" s="1"/>
  <c r="P21" i="2" s="1"/>
  <c r="P22" i="2" s="1"/>
  <c r="L22" i="2"/>
  <c r="L20" i="2"/>
  <c r="J20" i="2"/>
  <c r="J22" i="2"/>
  <c r="K22" i="2"/>
  <c r="K20" i="2"/>
  <c r="O22" i="2"/>
  <c r="O20" i="2"/>
  <c r="I20" i="2"/>
  <c r="I22" i="2"/>
  <c r="Q20" i="2"/>
  <c r="Q22" i="2"/>
  <c r="Q23" i="2" s="1"/>
  <c r="H22" i="2"/>
  <c r="H20" i="2"/>
  <c r="G17" i="2"/>
  <c r="O11" i="1"/>
  <c r="O14" i="1" s="1"/>
  <c r="P11" i="1"/>
  <c r="P14" i="1" s="1"/>
  <c r="L11" i="1"/>
  <c r="L14" i="1" s="1"/>
  <c r="M11" i="1"/>
  <c r="M14" i="1" s="1"/>
  <c r="N11" i="1"/>
  <c r="N14" i="1" s="1"/>
  <c r="K11" i="1"/>
  <c r="K14" i="1" s="1"/>
  <c r="K3" i="2" l="1"/>
  <c r="J4" i="2"/>
  <c r="J10" i="2" s="1"/>
  <c r="J23" i="4"/>
  <c r="K15" i="4"/>
  <c r="K23" i="4"/>
  <c r="I15" i="4"/>
  <c r="I23" i="4"/>
  <c r="M4" i="4"/>
  <c r="M10" i="4" s="1"/>
  <c r="N3" i="4"/>
  <c r="I11" i="3"/>
  <c r="I14" i="3" s="1"/>
  <c r="L3" i="3"/>
  <c r="K4" i="3"/>
  <c r="K10" i="3" s="1"/>
  <c r="H23" i="2"/>
  <c r="M22" i="2"/>
  <c r="P20" i="2"/>
  <c r="N20" i="2"/>
  <c r="G18" i="2"/>
  <c r="G19" i="2" s="1"/>
  <c r="G21" i="2" s="1"/>
  <c r="G20" i="2" s="1"/>
  <c r="G15" i="2"/>
  <c r="I11" i="2" l="1"/>
  <c r="I14" i="2" s="1"/>
  <c r="L3" i="2"/>
  <c r="K4" i="2"/>
  <c r="K10" i="2" s="1"/>
  <c r="O3" i="4"/>
  <c r="N4" i="4"/>
  <c r="N10" i="4" s="1"/>
  <c r="L11" i="4"/>
  <c r="L14" i="4" s="1"/>
  <c r="L4" i="3"/>
  <c r="L10" i="3" s="1"/>
  <c r="K11" i="3" s="1"/>
  <c r="K14" i="3" s="1"/>
  <c r="M3" i="3"/>
  <c r="J11" i="3"/>
  <c r="J14" i="3" s="1"/>
  <c r="G22" i="2"/>
  <c r="G23" i="2" s="1"/>
  <c r="M3" i="2" l="1"/>
  <c r="L4" i="2"/>
  <c r="L10" i="2" s="1"/>
  <c r="J11" i="2"/>
  <c r="J14" i="2" s="1"/>
  <c r="I15" i="2"/>
  <c r="I23" i="2"/>
  <c r="L15" i="4"/>
  <c r="L23" i="4"/>
  <c r="P3" i="4"/>
  <c r="P4" i="4" s="1"/>
  <c r="P10" i="4" s="1"/>
  <c r="P11" i="4" s="1"/>
  <c r="P14" i="4" s="1"/>
  <c r="O4" i="4"/>
  <c r="O10" i="4" s="1"/>
  <c r="M11" i="4"/>
  <c r="M14" i="4" s="1"/>
  <c r="M4" i="3"/>
  <c r="M10" i="3" s="1"/>
  <c r="L11" i="3" s="1"/>
  <c r="L14" i="3" s="1"/>
  <c r="N3" i="3"/>
  <c r="J15" i="2" l="1"/>
  <c r="J23" i="2"/>
  <c r="N3" i="2"/>
  <c r="M4" i="2"/>
  <c r="M10" i="2" s="1"/>
  <c r="K11" i="2"/>
  <c r="K14" i="2" s="1"/>
  <c r="M15" i="4"/>
  <c r="M23" i="4"/>
  <c r="P15" i="4"/>
  <c r="P23" i="4"/>
  <c r="O11" i="4"/>
  <c r="O14" i="4" s="1"/>
  <c r="N11" i="4"/>
  <c r="N14" i="4" s="1"/>
  <c r="N4" i="3"/>
  <c r="N10" i="3" s="1"/>
  <c r="M11" i="3" s="1"/>
  <c r="M14" i="3" s="1"/>
  <c r="O3" i="3"/>
  <c r="K15" i="2" l="1"/>
  <c r="K23" i="2"/>
  <c r="O3" i="2"/>
  <c r="N4" i="2"/>
  <c r="N10" i="2" s="1"/>
  <c r="L11" i="2"/>
  <c r="L14" i="2" s="1"/>
  <c r="N23" i="4"/>
  <c r="N15" i="4"/>
  <c r="O15" i="4"/>
  <c r="O23" i="4"/>
  <c r="P3" i="3"/>
  <c r="P4" i="3" s="1"/>
  <c r="P10" i="3" s="1"/>
  <c r="P11" i="3" s="1"/>
  <c r="P14" i="3" s="1"/>
  <c r="O4" i="3"/>
  <c r="O10" i="3" s="1"/>
  <c r="L15" i="2" l="1"/>
  <c r="L23" i="2"/>
  <c r="O4" i="2"/>
  <c r="O10" i="2" s="1"/>
  <c r="O11" i="2" s="1"/>
  <c r="O14" i="2" s="1"/>
  <c r="P3" i="2"/>
  <c r="P4" i="2" s="1"/>
  <c r="P10" i="2" s="1"/>
  <c r="P11" i="2" s="1"/>
  <c r="P14" i="2" s="1"/>
  <c r="M11" i="2"/>
  <c r="M14" i="2" s="1"/>
  <c r="O11" i="3"/>
  <c r="O14" i="3" s="1"/>
  <c r="N11" i="3"/>
  <c r="N14" i="3" s="1"/>
  <c r="M15" i="2" l="1"/>
  <c r="M23" i="2"/>
  <c r="O15" i="2"/>
  <c r="O23" i="2"/>
  <c r="P15" i="2"/>
  <c r="P23" i="2"/>
  <c r="N11" i="2"/>
  <c r="N14" i="2" s="1"/>
  <c r="N15" i="2" l="1"/>
  <c r="N23" i="2"/>
</calcChain>
</file>

<file path=xl/sharedStrings.xml><?xml version="1.0" encoding="utf-8"?>
<sst xmlns="http://schemas.openxmlformats.org/spreadsheetml/2006/main" count="116" uniqueCount="25">
  <si>
    <t>L</t>
  </si>
  <si>
    <t>dx</t>
  </si>
  <si>
    <t>k</t>
  </si>
  <si>
    <t>R</t>
  </si>
  <si>
    <t>Cp</t>
  </si>
  <si>
    <t>p*</t>
  </si>
  <si>
    <t>p</t>
  </si>
  <si>
    <t>T*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</si>
  <si>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</si>
  <si>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</si>
  <si>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</si>
  <si>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</si>
  <si>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</si>
  <si>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</si>
  <si>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</si>
  <si>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</si>
  <si>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</si>
  <si>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</si>
  <si>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</si>
  <si>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U_3D</t>
  </si>
  <si>
    <t>p_3D</t>
  </si>
  <si>
    <t>G_3D</t>
  </si>
  <si>
    <t>Tau_lam</t>
  </si>
  <si>
    <t>Pi_lamda</t>
  </si>
  <si>
    <t>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</si>
</sst>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1" fontId="0" fillId="3" borderId="1" xfId="0" applyNumberFormat="1" applyFill="1" applyBorder="1"/>
    <xf numFmtId="0" fontId="0" fillId="4" borderId="0" xfId="0" applyFill="1"/>
    <xf numFmtId="0" fontId="0" fillId="4" borderId="1" xfId="0" applyFill="1" applyBorder="1"/>
    <xf numFmtId="165" fontId="0" fillId="4" borderId="1" xfId="0" applyNumberFormat="1" applyFill="1" applyBorder="1"/>
    <xf numFmtId="166" fontId="0" fillId="4" borderId="1" xfId="0" applyNumberFormat="1" applyFill="1" applyBorder="1"/>
    <xf numFmtId="2" fontId="0" fillId="4" borderId="1" xfId="0" applyNumberFormat="1" applyFill="1" applyBorder="1"/>
    <xf numFmtId="164" fontId="0" fillId="4" borderId="1" xfId="0" applyNumberFormat="1" applyFill="1" applyBorder="1"/>
    <xf numFmtId="1" fontId="0" fillId="4" borderId="1" xfId="0" applyNumberFormat="1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632544"/>
        <c:axId val="312628848"/>
      </c:lineChart>
      <c:catAx>
        <c:axId val="313632544"/>
        <c:scaling>
          <c:orientation val="minMax"/>
        </c:scaling>
        <c:delete val="0"/>
        <c:axPos val="b"/>
        <c:majorTickMark val="out"/>
        <c:minorTickMark val="none"/>
        <c:tickLblPos val="nextTo"/>
        <c:crossAx val="312628848"/>
        <c:crosses val="autoZero"/>
        <c:auto val="1"/>
        <c:lblAlgn val="ctr"/>
        <c:lblOffset val="100"/>
        <c:noMultiLvlLbl val="0"/>
      </c:catAx>
      <c:valAx>
        <c:axId val="31262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363254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93270944090315"/>
          <c:y val="7.4548702245552628E-2"/>
          <c:w val="0.70526137357830299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ro_const_p_135!$G$10:$Q$10</c:f>
              <c:numCache>
                <c:formatCode>0.000</c:formatCode>
                <c:ptCount val="11"/>
                <c:pt idx="0">
                  <c:v>1.3682761772756697</c:v>
                </c:pt>
                <c:pt idx="1">
                  <c:v>1.3682761772756376</c:v>
                </c:pt>
                <c:pt idx="2">
                  <c:v>1.3682761772738032</c:v>
                </c:pt>
                <c:pt idx="3">
                  <c:v>1.3682761772666097</c:v>
                </c:pt>
                <c:pt idx="4">
                  <c:v>1.3682761772556424</c:v>
                </c:pt>
                <c:pt idx="5">
                  <c:v>1.3682761772426486</c:v>
                </c:pt>
                <c:pt idx="6">
                  <c:v>1.3682761772295371</c:v>
                </c:pt>
                <c:pt idx="7">
                  <c:v>1.3682761772181369</c:v>
                </c:pt>
                <c:pt idx="8">
                  <c:v>1.3682761772098433</c:v>
                </c:pt>
                <c:pt idx="9">
                  <c:v>1.3682761772052423</c:v>
                </c:pt>
                <c:pt idx="10">
                  <c:v>1.3682761772037741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9240"/>
        <c:axId val="312622184"/>
      </c:lineChart>
      <c:catAx>
        <c:axId val="312629240"/>
        <c:scaling>
          <c:orientation val="minMax"/>
        </c:scaling>
        <c:delete val="0"/>
        <c:axPos val="b"/>
        <c:majorTickMark val="out"/>
        <c:minorTickMark val="none"/>
        <c:tickLblPos val="nextTo"/>
        <c:crossAx val="312622184"/>
        <c:crosses val="autoZero"/>
        <c:auto val="1"/>
        <c:lblAlgn val="ctr"/>
        <c:lblOffset val="100"/>
        <c:noMultiLvlLbl val="0"/>
      </c:catAx>
      <c:valAx>
        <c:axId val="31262218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1262924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8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ro_const_p_135!$G$14:$Q$14</c:f>
              <c:numCache>
                <c:formatCode>General</c:formatCode>
                <c:ptCount val="11"/>
                <c:pt idx="0" formatCode="0">
                  <c:v>133045.93281371964</c:v>
                </c:pt>
                <c:pt idx="1">
                  <c:v>132578.11184693838</c:v>
                </c:pt>
                <c:pt idx="2">
                  <c:v>131967.60017411626</c:v>
                </c:pt>
                <c:pt idx="3">
                  <c:v>131158.8454717409</c:v>
                </c:pt>
                <c:pt idx="4">
                  <c:v>130069.34948035715</c:v>
                </c:pt>
                <c:pt idx="5">
                  <c:v>128573.64373301169</c:v>
                </c:pt>
                <c:pt idx="6">
                  <c:v>126475.70497066005</c:v>
                </c:pt>
                <c:pt idx="7">
                  <c:v>123459.75763431986</c:v>
                </c:pt>
                <c:pt idx="8">
                  <c:v>118998.90588742588</c:v>
                </c:pt>
                <c:pt idx="9">
                  <c:v>112177.34007467463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3360"/>
        <c:axId val="312626888"/>
      </c:lineChart>
      <c:catAx>
        <c:axId val="312623360"/>
        <c:scaling>
          <c:orientation val="minMax"/>
        </c:scaling>
        <c:delete val="0"/>
        <c:axPos val="b"/>
        <c:majorTickMark val="out"/>
        <c:minorTickMark val="none"/>
        <c:tickLblPos val="nextTo"/>
        <c:crossAx val="312626888"/>
        <c:crosses val="autoZero"/>
        <c:auto val="1"/>
        <c:lblAlgn val="ctr"/>
        <c:lblOffset val="100"/>
        <c:noMultiLvlLbl val="0"/>
      </c:catAx>
      <c:valAx>
        <c:axId val="31262688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1262336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ro_const_p_135!$G$13:$Q$13</c:f>
              <c:numCache>
                <c:formatCode>0.00</c:formatCode>
                <c:ptCount val="11"/>
                <c:pt idx="0" formatCode="General">
                  <c:v>57.428248187844233</c:v>
                </c:pt>
                <c:pt idx="1">
                  <c:v>63.632407964368852</c:v>
                </c:pt>
                <c:pt idx="2">
                  <c:v>70.899071836748007</c:v>
                </c:pt>
                <c:pt idx="3">
                  <c:v>79.485464619327317</c:v>
                </c:pt>
                <c:pt idx="4">
                  <c:v>89.731637792193254</c:v>
                </c:pt>
                <c:pt idx="5">
                  <c:v>102.09466344259256</c:v>
                </c:pt>
                <c:pt idx="6">
                  <c:v>117.20050650185311</c:v>
                </c:pt>
                <c:pt idx="7">
                  <c:v>135.92484777616463</c:v>
                </c:pt>
                <c:pt idx="8">
                  <c:v>159.5229116252263</c:v>
                </c:pt>
                <c:pt idx="9">
                  <c:v>189.84544854508556</c:v>
                </c:pt>
                <c:pt idx="10">
                  <c:v>229.71299273930674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4144"/>
        <c:axId val="312624536"/>
      </c:lineChart>
      <c:catAx>
        <c:axId val="312624144"/>
        <c:scaling>
          <c:orientation val="minMax"/>
        </c:scaling>
        <c:delete val="0"/>
        <c:axPos val="b"/>
        <c:majorTickMark val="out"/>
        <c:minorTickMark val="none"/>
        <c:tickLblPos val="nextTo"/>
        <c:crossAx val="312624536"/>
        <c:crosses val="autoZero"/>
        <c:auto val="1"/>
        <c:lblAlgn val="ctr"/>
        <c:lblOffset val="100"/>
        <c:noMultiLvlLbl val="0"/>
      </c:catAx>
      <c:valAx>
        <c:axId val="312624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62414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4200"/>
        <c:axId val="350364984"/>
      </c:lineChart>
      <c:catAx>
        <c:axId val="350364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4984"/>
        <c:crosses val="autoZero"/>
        <c:auto val="1"/>
        <c:lblAlgn val="ctr"/>
        <c:lblOffset val="100"/>
        <c:noMultiLvlLbl val="0"/>
      </c:catAx>
      <c:valAx>
        <c:axId val="35036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420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0672"/>
        <c:axId val="350361064"/>
      </c:lineChart>
      <c:catAx>
        <c:axId val="350360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1064"/>
        <c:crosses val="autoZero"/>
        <c:auto val="1"/>
        <c:lblAlgn val="ctr"/>
        <c:lblOffset val="100"/>
        <c:noMultiLvlLbl val="0"/>
      </c:catAx>
      <c:valAx>
        <c:axId val="35036106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5036067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ro_const_p_135!$G$14:$Q$14</c:f>
              <c:numCache>
                <c:formatCode>General</c:formatCode>
                <c:ptCount val="11"/>
                <c:pt idx="0" formatCode="0">
                  <c:v>133045.93281371964</c:v>
                </c:pt>
                <c:pt idx="1">
                  <c:v>132578.11184693838</c:v>
                </c:pt>
                <c:pt idx="2">
                  <c:v>131967.60017411626</c:v>
                </c:pt>
                <c:pt idx="3">
                  <c:v>131158.8454717409</c:v>
                </c:pt>
                <c:pt idx="4">
                  <c:v>130069.34948035715</c:v>
                </c:pt>
                <c:pt idx="5">
                  <c:v>128573.64373301169</c:v>
                </c:pt>
                <c:pt idx="6">
                  <c:v>126475.70497066005</c:v>
                </c:pt>
                <c:pt idx="7">
                  <c:v>123459.75763431986</c:v>
                </c:pt>
                <c:pt idx="8">
                  <c:v>118998.90588742588</c:v>
                </c:pt>
                <c:pt idx="9">
                  <c:v>112177.34007467463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768"/>
        <c:axId val="350359496"/>
      </c:lineChart>
      <c:catAx>
        <c:axId val="350365768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496"/>
        <c:crosses val="autoZero"/>
        <c:auto val="1"/>
        <c:lblAlgn val="ctr"/>
        <c:lblOffset val="100"/>
        <c:noMultiLvlLbl val="0"/>
      </c:catAx>
      <c:valAx>
        <c:axId val="35035949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036576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ro_const_p_135!$G$13:$Q$13</c:f>
              <c:numCache>
                <c:formatCode>0.00</c:formatCode>
                <c:ptCount val="11"/>
                <c:pt idx="0" formatCode="General">
                  <c:v>57.428248187844233</c:v>
                </c:pt>
                <c:pt idx="1">
                  <c:v>63.632407964368852</c:v>
                </c:pt>
                <c:pt idx="2">
                  <c:v>70.899071836748007</c:v>
                </c:pt>
                <c:pt idx="3">
                  <c:v>79.485464619327317</c:v>
                </c:pt>
                <c:pt idx="4">
                  <c:v>89.731637792193254</c:v>
                </c:pt>
                <c:pt idx="5">
                  <c:v>102.09466344259256</c:v>
                </c:pt>
                <c:pt idx="6">
                  <c:v>117.20050650185311</c:v>
                </c:pt>
                <c:pt idx="7">
                  <c:v>135.92484777616463</c:v>
                </c:pt>
                <c:pt idx="8">
                  <c:v>159.5229116252263</c:v>
                </c:pt>
                <c:pt idx="9">
                  <c:v>189.84544854508556</c:v>
                </c:pt>
                <c:pt idx="10">
                  <c:v>229.71299273930674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2632"/>
        <c:axId val="350360280"/>
      </c:lineChart>
      <c:catAx>
        <c:axId val="350362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0280"/>
        <c:crosses val="autoZero"/>
        <c:auto val="1"/>
        <c:lblAlgn val="ctr"/>
        <c:lblOffset val="100"/>
        <c:noMultiLvlLbl val="0"/>
      </c:catAx>
      <c:valAx>
        <c:axId val="35036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263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1717244377049678E-2"/>
          <c:y val="0.2179515828406304"/>
          <c:w val="0.54736707028224751"/>
          <c:h val="0.68921672163286607"/>
        </c:manualLayout>
      </c:layout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3416"/>
        <c:axId val="350362240"/>
      </c:lineChart>
      <c:catAx>
        <c:axId val="350363416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62240"/>
        <c:crosses val="autoZero"/>
        <c:auto val="1"/>
        <c:lblAlgn val="ctr"/>
        <c:lblOffset val="100"/>
        <c:noMultiLvlLbl val="0"/>
      </c:catAx>
      <c:valAx>
        <c:axId val="35036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036341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65376"/>
        <c:axId val="350358320"/>
      </c:lineChart>
      <c:catAx>
        <c:axId val="350365376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8320"/>
        <c:crosses val="autoZero"/>
        <c:auto val="1"/>
        <c:lblAlgn val="ctr"/>
        <c:lblOffset val="100"/>
        <c:noMultiLvlLbl val="0"/>
      </c:catAx>
      <c:valAx>
        <c:axId val="35035832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5036537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ro_const_p_105!$G$14:$Q$14</c:f>
              <c:numCache>
                <c:formatCode>General</c:formatCode>
                <c:ptCount val="11"/>
                <c:pt idx="0" formatCode="0">
                  <c:v>104787.35932845269</c:v>
                </c:pt>
                <c:pt idx="1">
                  <c:v>104736.44739088853</c:v>
                </c:pt>
                <c:pt idx="2">
                  <c:v>104669.91150684966</c:v>
                </c:pt>
                <c:pt idx="3">
                  <c:v>104581.69876837725</c:v>
                </c:pt>
                <c:pt idx="4">
                  <c:v>104462.79013651557</c:v>
                </c:pt>
                <c:pt idx="5">
                  <c:v>104299.47966668912</c:v>
                </c:pt>
                <c:pt idx="6">
                  <c:v>104070.3707546783</c:v>
                </c:pt>
                <c:pt idx="7">
                  <c:v>103741.01730906773</c:v>
                </c:pt>
                <c:pt idx="8">
                  <c:v>103253.96426653017</c:v>
                </c:pt>
                <c:pt idx="9">
                  <c:v>102509.34835039773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358712"/>
        <c:axId val="350359104"/>
      </c:lineChart>
      <c:catAx>
        <c:axId val="350358712"/>
        <c:scaling>
          <c:orientation val="minMax"/>
        </c:scaling>
        <c:delete val="0"/>
        <c:axPos val="b"/>
        <c:majorTickMark val="out"/>
        <c:minorTickMark val="none"/>
        <c:tickLblPos val="nextTo"/>
        <c:crossAx val="350359104"/>
        <c:crosses val="autoZero"/>
        <c:auto val="1"/>
        <c:lblAlgn val="ctr"/>
        <c:lblOffset val="100"/>
        <c:noMultiLvlLbl val="0"/>
      </c:catAx>
      <c:valAx>
        <c:axId val="3503591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035871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ro_const_p_105!$G$13:$Q$13</c:f>
              <c:numCache>
                <c:formatCode>0.00</c:formatCode>
                <c:ptCount val="11"/>
                <c:pt idx="0" formatCode="General">
                  <c:v>18.944318656593634</c:v>
                </c:pt>
                <c:pt idx="1">
                  <c:v>20.990985003017538</c:v>
                </c:pt>
                <c:pt idx="2">
                  <c:v>23.391246646933169</c:v>
                </c:pt>
                <c:pt idx="3">
                  <c:v>26.229183277055121</c:v>
                </c:pt>
                <c:pt idx="4">
                  <c:v>29.617082415144949</c:v>
                </c:pt>
                <c:pt idx="5">
                  <c:v>33.705687546343334</c:v>
                </c:pt>
                <c:pt idx="6">
                  <c:v>38.70127456379624</c:v>
                </c:pt>
                <c:pt idx="7">
                  <c:v>44.892331455419011</c:v>
                </c:pt>
                <c:pt idx="8">
                  <c:v>52.692528974875373</c:v>
                </c:pt>
                <c:pt idx="9">
                  <c:v>62.712344407440831</c:v>
                </c:pt>
                <c:pt idx="10">
                  <c:v>75.883225852584502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626496"/>
        <c:axId val="349939728"/>
      </c:lineChart>
      <c:catAx>
        <c:axId val="312626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9728"/>
        <c:crosses val="autoZero"/>
        <c:auto val="1"/>
        <c:lblAlgn val="ctr"/>
        <c:lblOffset val="100"/>
        <c:noMultiLvlLbl val="0"/>
      </c:catAx>
      <c:valAx>
        <c:axId val="34993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62649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0120"/>
        <c:axId val="349936984"/>
      </c:lineChart>
      <c:catAx>
        <c:axId val="34994012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6984"/>
        <c:crosses val="autoZero"/>
        <c:auto val="1"/>
        <c:lblAlgn val="ctr"/>
        <c:lblOffset val="100"/>
        <c:noMultiLvlLbl val="0"/>
      </c:catAx>
      <c:valAx>
        <c:axId val="349936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4012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932709440903162"/>
          <c:y val="7.4548702245552628E-2"/>
          <c:w val="0.7052613735783034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2864"/>
        <c:axId val="349942472"/>
      </c:lineChart>
      <c:catAx>
        <c:axId val="349942864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42472"/>
        <c:crosses val="autoZero"/>
        <c:auto val="1"/>
        <c:lblAlgn val="ctr"/>
        <c:lblOffset val="100"/>
        <c:noMultiLvlLbl val="0"/>
      </c:catAx>
      <c:valAx>
        <c:axId val="3499424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994286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ro_var_p_105!$G$14:$Q$14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36200"/>
        <c:axId val="349938160"/>
      </c:lineChart>
      <c:catAx>
        <c:axId val="34993620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8160"/>
        <c:crosses val="autoZero"/>
        <c:auto val="1"/>
        <c:lblAlgn val="ctr"/>
        <c:lblOffset val="100"/>
        <c:noMultiLvlLbl val="0"/>
      </c:catAx>
      <c:valAx>
        <c:axId val="3499381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4993620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ro_var_p_105!$G$13:$Q$13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942080"/>
        <c:axId val="349937768"/>
      </c:lineChart>
      <c:catAx>
        <c:axId val="349942080"/>
        <c:scaling>
          <c:orientation val="minMax"/>
        </c:scaling>
        <c:delete val="0"/>
        <c:axPos val="b"/>
        <c:majorTickMark val="out"/>
        <c:minorTickMark val="none"/>
        <c:tickLblPos val="nextTo"/>
        <c:crossAx val="349937768"/>
        <c:crosses val="autoZero"/>
        <c:auto val="1"/>
        <c:lblAlgn val="ctr"/>
        <c:lblOffset val="100"/>
        <c:noMultiLvlLbl val="0"/>
      </c:catAx>
      <c:valAx>
        <c:axId val="349937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994208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28</xdr:row>
      <xdr:rowOff>8966</xdr:rowOff>
    </xdr:from>
    <xdr:to>
      <xdr:col>17</xdr:col>
      <xdr:colOff>376518</xdr:colOff>
      <xdr:row>43</xdr:row>
      <xdr:rowOff>62754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44</xdr:row>
      <xdr:rowOff>35860</xdr:rowOff>
    </xdr:from>
    <xdr:to>
      <xdr:col>17</xdr:col>
      <xdr:colOff>412377</xdr:colOff>
      <xdr:row>59</xdr:row>
      <xdr:rowOff>89648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123825</xdr:rowOff>
        </xdr:from>
        <xdr:to>
          <xdr:col>2</xdr:col>
          <xdr:colOff>409575</xdr:colOff>
          <xdr:row>17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29</xdr:row>
      <xdr:rowOff>76647</xdr:rowOff>
    </xdr:from>
    <xdr:to>
      <xdr:col>8</xdr:col>
      <xdr:colOff>86958</xdr:colOff>
      <xdr:row>44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44</xdr:row>
      <xdr:rowOff>161365</xdr:rowOff>
    </xdr:from>
    <xdr:to>
      <xdr:col>7</xdr:col>
      <xdr:colOff>708211</xdr:colOff>
      <xdr:row>61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35</xdr:row>
      <xdr:rowOff>8966</xdr:rowOff>
    </xdr:from>
    <xdr:to>
      <xdr:col>17</xdr:col>
      <xdr:colOff>376518</xdr:colOff>
      <xdr:row>50</xdr:row>
      <xdr:rowOff>62754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51</xdr:row>
      <xdr:rowOff>35860</xdr:rowOff>
    </xdr:from>
    <xdr:to>
      <xdr:col>17</xdr:col>
      <xdr:colOff>412377</xdr:colOff>
      <xdr:row>66</xdr:row>
      <xdr:rowOff>89648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21</xdr:row>
          <xdr:rowOff>104775</xdr:rowOff>
        </xdr:from>
        <xdr:to>
          <xdr:col>2</xdr:col>
          <xdr:colOff>123825</xdr:colOff>
          <xdr:row>22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28</xdr:row>
      <xdr:rowOff>8966</xdr:rowOff>
    </xdr:from>
    <xdr:to>
      <xdr:col>17</xdr:col>
      <xdr:colOff>376518</xdr:colOff>
      <xdr:row>43</xdr:row>
      <xdr:rowOff>62754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44</xdr:row>
      <xdr:rowOff>35860</xdr:rowOff>
    </xdr:from>
    <xdr:to>
      <xdr:col>17</xdr:col>
      <xdr:colOff>412377</xdr:colOff>
      <xdr:row>59</xdr:row>
      <xdr:rowOff>89648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17</xdr:row>
          <xdr:rowOff>104775</xdr:rowOff>
        </xdr:from>
        <xdr:to>
          <xdr:col>2</xdr:col>
          <xdr:colOff>190500</xdr:colOff>
          <xdr:row>18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29</xdr:row>
      <xdr:rowOff>76647</xdr:rowOff>
    </xdr:from>
    <xdr:to>
      <xdr:col>8</xdr:col>
      <xdr:colOff>86958</xdr:colOff>
      <xdr:row>44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44</xdr:row>
      <xdr:rowOff>161365</xdr:rowOff>
    </xdr:from>
    <xdr:to>
      <xdr:col>7</xdr:col>
      <xdr:colOff>708211</xdr:colOff>
      <xdr:row>61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71718</xdr:colOff>
      <xdr:row>35</xdr:row>
      <xdr:rowOff>8966</xdr:rowOff>
    </xdr:from>
    <xdr:to>
      <xdr:col>17</xdr:col>
      <xdr:colOff>376518</xdr:colOff>
      <xdr:row>50</xdr:row>
      <xdr:rowOff>62754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107577</xdr:colOff>
      <xdr:row>51</xdr:row>
      <xdr:rowOff>35860</xdr:rowOff>
    </xdr:from>
    <xdr:to>
      <xdr:col>17</xdr:col>
      <xdr:colOff>412377</xdr:colOff>
      <xdr:row>66</xdr:row>
      <xdr:rowOff>89648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19</xdr:row>
          <xdr:rowOff>180975</xdr:rowOff>
        </xdr:from>
        <xdr:to>
          <xdr:col>2</xdr:col>
          <xdr:colOff>333375</xdr:colOff>
          <xdr:row>21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Q26"/>
  <sheetViews>
    <sheetView tabSelected="1" zoomScaleNormal="100" workbookViewId="0">
      <selection activeCell="D20" sqref="D20"/>
    </sheetView>
  </sheetViews>
  <sheetFormatPr defaultRowHeight="15" x14ac:dyDescent="0.25"/>
  <cols>
    <col min="7" max="7" width="9.42578125" bestFit="1" customWidth="1"/>
    <col min="8" max="8" width="10.42578125" bestFit="1" customWidth="1"/>
  </cols>
  <sheetData>
    <row r="1" spans="2:17" x14ac:dyDescent="0.25">
      <c r="F1" s="5" t="s">
        <v>9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7" x14ac:dyDescent="0.25">
      <c r="F2" s="5" t="s">
        <v>10</v>
      </c>
      <c r="G2" s="6">
        <v>0</v>
      </c>
      <c r="H2" s="6">
        <f>G2+$C$4</f>
        <v>0.01</v>
      </c>
      <c r="I2" s="6">
        <f t="shared" ref="I2:Q2" si="0">H2+$C$4</f>
        <v>0.02</v>
      </c>
      <c r="J2" s="6">
        <f t="shared" si="0"/>
        <v>0.03</v>
      </c>
      <c r="K2" s="6">
        <f t="shared" si="0"/>
        <v>0.04</v>
      </c>
      <c r="L2" s="6">
        <f t="shared" si="0"/>
        <v>0.05</v>
      </c>
      <c r="M2" s="6">
        <f t="shared" si="0"/>
        <v>6.0000000000000005E-2</v>
      </c>
      <c r="N2" s="6">
        <f t="shared" si="0"/>
        <v>7.0000000000000007E-2</v>
      </c>
      <c r="O2" s="6">
        <f t="shared" si="0"/>
        <v>0.08</v>
      </c>
      <c r="P2" s="6">
        <f t="shared" si="0"/>
        <v>0.09</v>
      </c>
      <c r="Q2" s="6">
        <f t="shared" si="0"/>
        <v>9.9999999999999992E-2</v>
      </c>
    </row>
    <row r="3" spans="2:17" x14ac:dyDescent="0.25">
      <c r="B3" s="5" t="s">
        <v>0</v>
      </c>
      <c r="C3" s="5">
        <v>0.1</v>
      </c>
      <c r="F3" s="5" t="s">
        <v>3</v>
      </c>
      <c r="G3" s="1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1">
        <v>0.04</v>
      </c>
    </row>
    <row r="4" spans="2:17" x14ac:dyDescent="0.25">
      <c r="B4" s="5" t="s">
        <v>1</v>
      </c>
      <c r="C4" s="5">
        <f>C3/10</f>
        <v>0.01</v>
      </c>
      <c r="F4" s="5" t="s">
        <v>11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25">
      <c r="F5" s="5" t="s">
        <v>12</v>
      </c>
      <c r="G5" s="5">
        <v>57.428248187845547</v>
      </c>
      <c r="H5" s="5">
        <v>63.632407964370337</v>
      </c>
      <c r="I5" s="5">
        <v>70.899071836753365</v>
      </c>
      <c r="J5" s="5">
        <v>79.485464619335701</v>
      </c>
      <c r="K5" s="5">
        <v>89.731637792203273</v>
      </c>
      <c r="L5" s="5">
        <v>102.09466344260282</v>
      </c>
      <c r="M5" s="5">
        <v>117.20050650186224</v>
      </c>
      <c r="N5" s="5">
        <v>135.92484777617153</v>
      </c>
      <c r="O5" s="5">
        <v>159.52291162523048</v>
      </c>
      <c r="P5" s="5">
        <v>189.84544854508741</v>
      </c>
      <c r="Q5" s="5">
        <v>229.71299273930748</v>
      </c>
    </row>
    <row r="6" spans="2:17" x14ac:dyDescent="0.25">
      <c r="B6" s="5" t="s">
        <v>2</v>
      </c>
      <c r="C6" s="5">
        <v>1.4</v>
      </c>
      <c r="F6" s="5" t="s">
        <v>6</v>
      </c>
      <c r="G6" s="5">
        <v>133045.93281371956</v>
      </c>
      <c r="H6" s="5">
        <v>132578.11184693826</v>
      </c>
      <c r="I6" s="5">
        <v>131967.60017411574</v>
      </c>
      <c r="J6" s="5">
        <v>131158.84547174003</v>
      </c>
      <c r="K6" s="5">
        <v>130069.34948035599</v>
      </c>
      <c r="L6" s="5">
        <v>128573.64373301035</v>
      </c>
      <c r="M6" s="5">
        <v>126475.70497065871</v>
      </c>
      <c r="N6" s="5">
        <v>123459.75763431874</v>
      </c>
      <c r="O6" s="5">
        <v>118998.90588742515</v>
      </c>
      <c r="P6" s="5">
        <v>112177.34007467436</v>
      </c>
      <c r="Q6" s="5">
        <v>101325</v>
      </c>
    </row>
    <row r="7" spans="2:17" x14ac:dyDescent="0.25">
      <c r="B7" s="5" t="s">
        <v>3</v>
      </c>
      <c r="C7" s="5">
        <v>286.97199999999998</v>
      </c>
      <c r="F7" s="5" t="s">
        <v>13</v>
      </c>
      <c r="G7" s="5">
        <v>1.1850000000000001</v>
      </c>
      <c r="H7" s="5">
        <v>1.1850000000000001</v>
      </c>
      <c r="I7" s="5">
        <v>1.1850000000000001</v>
      </c>
      <c r="J7" s="5">
        <v>1.1850000000000001</v>
      </c>
      <c r="K7" s="5">
        <v>1.1850000000000001</v>
      </c>
      <c r="L7" s="5">
        <v>1.1850000000000001</v>
      </c>
      <c r="M7" s="5">
        <v>1.1850000000000001</v>
      </c>
      <c r="N7" s="5">
        <v>1.1850000000000001</v>
      </c>
      <c r="O7" s="5">
        <v>1.1850000000000001</v>
      </c>
      <c r="P7" s="5">
        <v>1.1850000000000001</v>
      </c>
      <c r="Q7" s="5">
        <v>1.1850000000000001</v>
      </c>
    </row>
    <row r="8" spans="2:17" x14ac:dyDescent="0.25">
      <c r="B8" s="5" t="s">
        <v>4</v>
      </c>
      <c r="C8" s="5">
        <v>1004.4</v>
      </c>
    </row>
    <row r="10" spans="2:17" x14ac:dyDescent="0.25">
      <c r="B10" s="5" t="s">
        <v>5</v>
      </c>
      <c r="C10" s="5">
        <v>135000</v>
      </c>
      <c r="F10" s="5" t="s">
        <v>14</v>
      </c>
      <c r="G10" s="6">
        <f>G4*G7*G13</f>
        <v>1.3682761772756697</v>
      </c>
      <c r="H10" s="6">
        <f>H4*H7*H13</f>
        <v>1.3682761772756376</v>
      </c>
      <c r="I10" s="6">
        <f t="shared" ref="I10:Q10" si="3">I4*I7*I13</f>
        <v>1.3682761772738032</v>
      </c>
      <c r="J10" s="6">
        <f t="shared" si="3"/>
        <v>1.3682761772666097</v>
      </c>
      <c r="K10" s="6">
        <f t="shared" si="3"/>
        <v>1.3682761772556424</v>
      </c>
      <c r="L10" s="6">
        <f t="shared" si="3"/>
        <v>1.3682761772426486</v>
      </c>
      <c r="M10" s="6">
        <f t="shared" si="3"/>
        <v>1.3682761772295371</v>
      </c>
      <c r="N10" s="6">
        <f t="shared" si="3"/>
        <v>1.3682761772181369</v>
      </c>
      <c r="O10" s="6">
        <f t="shared" si="3"/>
        <v>1.3682761772098433</v>
      </c>
      <c r="P10" s="6">
        <f t="shared" si="3"/>
        <v>1.3682761772052423</v>
      </c>
      <c r="Q10" s="6">
        <f t="shared" si="3"/>
        <v>1.3682761772037741</v>
      </c>
    </row>
    <row r="11" spans="2:17" x14ac:dyDescent="0.25">
      <c r="B11" s="5" t="s">
        <v>7</v>
      </c>
      <c r="C11" s="5">
        <v>288.16000000000003</v>
      </c>
      <c r="F11" s="5" t="s">
        <v>15</v>
      </c>
      <c r="G11" s="7">
        <v>0</v>
      </c>
      <c r="H11" s="7">
        <f>(H13)*(H10-I10)</f>
        <v>1.167215928784884E-10</v>
      </c>
      <c r="I11" s="7">
        <f t="shared" ref="I11:P11" si="4">(I13)*(I10-J10)</f>
        <v>5.1001807894637827E-10</v>
      </c>
      <c r="J11" s="7">
        <f t="shared" si="4"/>
        <v>8.7173514373213635E-10</v>
      </c>
      <c r="K11" s="7">
        <f t="shared" si="4"/>
        <v>1.1659574887715422E-9</v>
      </c>
      <c r="L11" s="7">
        <f t="shared" si="4"/>
        <v>1.3386153922260497E-9</v>
      </c>
      <c r="M11" s="7">
        <f t="shared" si="4"/>
        <v>1.3361108674599149E-9</v>
      </c>
      <c r="N11" s="7">
        <f t="shared" si="4"/>
        <v>1.1273046916587869E-9</v>
      </c>
      <c r="O11" s="7">
        <f t="shared" si="4"/>
        <v>7.3396272432775554E-10</v>
      </c>
      <c r="P11" s="7">
        <f t="shared" si="4"/>
        <v>2.7872329017688675E-10</v>
      </c>
      <c r="Q11" s="2">
        <v>0</v>
      </c>
    </row>
    <row r="12" spans="2:17" x14ac:dyDescent="0.25">
      <c r="B12" s="5" t="s">
        <v>6</v>
      </c>
      <c r="C12" s="5">
        <v>101325</v>
      </c>
    </row>
    <row r="13" spans="2:17" x14ac:dyDescent="0.25">
      <c r="F13" s="5" t="s">
        <v>12</v>
      </c>
      <c r="G13" s="2">
        <f>(H4*H5*H7)/(G4*G7)</f>
        <v>57.428248187844233</v>
      </c>
      <c r="H13" s="8">
        <f t="shared" ref="H13:Q13" si="5">((G6-H6)/H7+G5*H5)^0.5</f>
        <v>63.632407964368852</v>
      </c>
      <c r="I13" s="8">
        <f t="shared" si="5"/>
        <v>70.899071836748007</v>
      </c>
      <c r="J13" s="8">
        <f t="shared" si="5"/>
        <v>79.485464619327317</v>
      </c>
      <c r="K13" s="8">
        <f t="shared" si="5"/>
        <v>89.731637792193254</v>
      </c>
      <c r="L13" s="8">
        <f t="shared" si="5"/>
        <v>102.09466344259256</v>
      </c>
      <c r="M13" s="8">
        <f t="shared" si="5"/>
        <v>117.20050650185311</v>
      </c>
      <c r="N13" s="8">
        <f t="shared" si="5"/>
        <v>135.92484777616463</v>
      </c>
      <c r="O13" s="8">
        <f t="shared" si="5"/>
        <v>159.5229116252263</v>
      </c>
      <c r="P13" s="8">
        <f t="shared" si="5"/>
        <v>189.84544854508556</v>
      </c>
      <c r="Q13" s="8">
        <f t="shared" si="5"/>
        <v>229.71299273930674</v>
      </c>
    </row>
    <row r="14" spans="2:17" x14ac:dyDescent="0.25">
      <c r="B14" s="5" t="s">
        <v>8</v>
      </c>
      <c r="C14" s="5">
        <v>2000</v>
      </c>
      <c r="F14" s="5" t="s">
        <v>6</v>
      </c>
      <c r="G14" s="3">
        <f>C10-(G7*G13^2)/2</f>
        <v>133045.93281371964</v>
      </c>
      <c r="H14" s="5">
        <f>H6+H11</f>
        <v>132578.11184693838</v>
      </c>
      <c r="I14" s="5">
        <f t="shared" ref="I14:Q14" si="6">I6+I11</f>
        <v>131967.60017411626</v>
      </c>
      <c r="J14" s="5">
        <f t="shared" si="6"/>
        <v>131158.8454717409</v>
      </c>
      <c r="K14" s="5">
        <f t="shared" si="6"/>
        <v>130069.34948035715</v>
      </c>
      <c r="L14" s="5">
        <f t="shared" si="6"/>
        <v>128573.64373301169</v>
      </c>
      <c r="M14" s="5">
        <f t="shared" si="6"/>
        <v>126475.70497066005</v>
      </c>
      <c r="N14" s="5">
        <f t="shared" si="6"/>
        <v>123459.75763431986</v>
      </c>
      <c r="O14" s="5">
        <f t="shared" si="6"/>
        <v>118998.90588742588</v>
      </c>
      <c r="P14" s="5">
        <f t="shared" si="6"/>
        <v>112177.34007467463</v>
      </c>
      <c r="Q14" s="2">
        <f t="shared" si="6"/>
        <v>101325</v>
      </c>
    </row>
    <row r="15" spans="2:17" x14ac:dyDescent="0.25">
      <c r="F15" s="5" t="s">
        <v>13</v>
      </c>
      <c r="G15" s="5">
        <v>1.1850000000000001</v>
      </c>
      <c r="H15" s="5">
        <v>1.1850000000000001</v>
      </c>
      <c r="I15" s="5">
        <v>1.1850000000000001</v>
      </c>
      <c r="J15" s="5">
        <v>1.1850000000000001</v>
      </c>
      <c r="K15" s="5">
        <v>1.1850000000000001</v>
      </c>
      <c r="L15" s="5">
        <v>1.1850000000000001</v>
      </c>
      <c r="M15" s="5">
        <v>1.1850000000000001</v>
      </c>
      <c r="N15" s="5">
        <v>1.1850000000000001</v>
      </c>
      <c r="O15" s="5">
        <v>1.1850000000000001</v>
      </c>
      <c r="P15" s="5">
        <v>1.1850000000000001</v>
      </c>
      <c r="Q15" s="5">
        <v>1.1850000000000001</v>
      </c>
    </row>
    <row r="17" spans="6:17" x14ac:dyDescent="0.25">
      <c r="F17" s="5" t="s">
        <v>16</v>
      </c>
      <c r="G17" s="8">
        <f>$C$11-(G13^2)/(2*$C$8)</f>
        <v>286.51822197833303</v>
      </c>
      <c r="H17" s="8">
        <f t="shared" ref="H17:Q17" si="7">$C$11-(H13^2)/(2*$C$8)</f>
        <v>286.14432728825977</v>
      </c>
      <c r="I17" s="8">
        <f t="shared" si="7"/>
        <v>285.65767105370753</v>
      </c>
      <c r="J17" s="8">
        <f t="shared" si="7"/>
        <v>285.01486903337798</v>
      </c>
      <c r="K17" s="8">
        <f t="shared" si="7"/>
        <v>284.15175287690693</v>
      </c>
      <c r="L17" s="8">
        <f t="shared" si="7"/>
        <v>282.97117069720423</v>
      </c>
      <c r="M17" s="8">
        <f t="shared" si="7"/>
        <v>281.32210736544658</v>
      </c>
      <c r="N17" s="8">
        <f t="shared" si="7"/>
        <v>278.96268605984994</v>
      </c>
      <c r="O17" s="8">
        <f t="shared" si="7"/>
        <v>275.49195971057861</v>
      </c>
      <c r="P17" s="8">
        <f t="shared" si="7"/>
        <v>270.21829632950784</v>
      </c>
      <c r="Q17" s="8">
        <f t="shared" si="7"/>
        <v>261.89155165608884</v>
      </c>
    </row>
    <row r="18" spans="6:17" x14ac:dyDescent="0.25">
      <c r="F18" s="5" t="s">
        <v>17</v>
      </c>
      <c r="G18" s="9">
        <f>SQRT($C$6*$C$7*G17)</f>
        <v>339.28128459523469</v>
      </c>
      <c r="H18" s="9">
        <f t="shared" ref="H18:Q18" si="8">SQRT($C$6*$C$7*H17)</f>
        <v>339.05983815072091</v>
      </c>
      <c r="I18" s="9">
        <f t="shared" si="8"/>
        <v>338.77138965484431</v>
      </c>
      <c r="J18" s="9">
        <f t="shared" si="8"/>
        <v>338.39001432481007</v>
      </c>
      <c r="K18" s="9">
        <f t="shared" si="8"/>
        <v>337.87724924479363</v>
      </c>
      <c r="L18" s="9">
        <f t="shared" si="8"/>
        <v>337.17461932394218</v>
      </c>
      <c r="M18" s="9">
        <f t="shared" si="8"/>
        <v>336.19071211564977</v>
      </c>
      <c r="N18" s="9">
        <f t="shared" si="8"/>
        <v>334.77794419817167</v>
      </c>
      <c r="O18" s="9">
        <f t="shared" si="8"/>
        <v>332.68884881656288</v>
      </c>
      <c r="P18" s="9">
        <f t="shared" si="8"/>
        <v>329.48917874185207</v>
      </c>
      <c r="Q18" s="9">
        <f t="shared" si="8"/>
        <v>324.37287079315308</v>
      </c>
    </row>
    <row r="19" spans="6:17" x14ac:dyDescent="0.25">
      <c r="F19" s="5" t="s">
        <v>18</v>
      </c>
      <c r="G19" s="7">
        <f>G13/G18</f>
        <v>0.16926441508955201</v>
      </c>
      <c r="H19" s="7">
        <f t="shared" ref="H19:Q19" si="9">H13/H18</f>
        <v>0.18767309130868692</v>
      </c>
      <c r="I19" s="7">
        <f t="shared" si="9"/>
        <v>0.20928293829352945</v>
      </c>
      <c r="J19" s="7">
        <f t="shared" si="9"/>
        <v>0.2348930561025116</v>
      </c>
      <c r="K19" s="7">
        <f t="shared" si="9"/>
        <v>0.26557466651796452</v>
      </c>
      <c r="L19" s="7">
        <f t="shared" si="9"/>
        <v>0.3027946280396171</v>
      </c>
      <c r="M19" s="7">
        <f t="shared" si="9"/>
        <v>0.34861315996599002</v>
      </c>
      <c r="N19" s="7">
        <f t="shared" si="9"/>
        <v>0.40601494253666831</v>
      </c>
      <c r="O19" s="7">
        <f t="shared" si="9"/>
        <v>0.47949581776689976</v>
      </c>
      <c r="P19" s="7">
        <f t="shared" si="9"/>
        <v>0.57618113368702017</v>
      </c>
      <c r="Q19" s="7">
        <f t="shared" si="9"/>
        <v>0.70817572436811682</v>
      </c>
    </row>
    <row r="23" spans="6:17" x14ac:dyDescent="0.25">
      <c r="L23" s="5"/>
      <c r="M23" s="5">
        <v>0</v>
      </c>
      <c r="N23" s="5">
        <v>2.5000000000000001E-2</v>
      </c>
      <c r="O23" s="5">
        <v>0.05</v>
      </c>
      <c r="P23" s="5">
        <v>7.4999999999999997E-2</v>
      </c>
      <c r="Q23" s="5">
        <v>0.1</v>
      </c>
    </row>
    <row r="24" spans="6:17" x14ac:dyDescent="0.25">
      <c r="L24" s="5" t="s">
        <v>19</v>
      </c>
      <c r="M24" s="5"/>
      <c r="N24" s="5"/>
      <c r="O24" s="5"/>
      <c r="P24" s="5"/>
      <c r="Q24" s="5"/>
    </row>
    <row r="25" spans="6:17" x14ac:dyDescent="0.25">
      <c r="L25" s="5" t="s">
        <v>20</v>
      </c>
      <c r="M25" s="5"/>
      <c r="N25" s="5"/>
      <c r="O25" s="5"/>
      <c r="P25" s="5"/>
      <c r="Q25" s="5"/>
    </row>
    <row r="26" spans="6:17" x14ac:dyDescent="0.25">
      <c r="L26" s="5" t="s">
        <v>21</v>
      </c>
      <c r="M26" s="5"/>
      <c r="N26" s="5"/>
      <c r="O26" s="5"/>
      <c r="P26" s="5"/>
      <c r="Q26" s="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uznetsov">
                <anchor moveWithCells="1">
                  <from>
                    <xdr:col>1</xdr:col>
                    <xdr:colOff>438150</xdr:colOff>
                    <xdr:row>16</xdr:row>
                    <xdr:rowOff>123825</xdr:rowOff>
                  </from>
                  <to>
                    <xdr:col>2</xdr:col>
                    <xdr:colOff>409575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Q33"/>
  <sheetViews>
    <sheetView topLeftCell="A7" workbookViewId="0">
      <selection activeCell="C24" sqref="C24:D24"/>
    </sheetView>
  </sheetViews>
  <sheetFormatPr defaultRowHeight="15" x14ac:dyDescent="0.25"/>
  <cols>
    <col min="7" max="7" width="12" bestFit="1" customWidth="1"/>
    <col min="8" max="10" width="12.140625" bestFit="1" customWidth="1"/>
    <col min="11" max="17" width="10.42578125" bestFit="1" customWidth="1"/>
  </cols>
  <sheetData>
    <row r="1" spans="2:17" x14ac:dyDescent="0.25">
      <c r="F1" s="5" t="s">
        <v>9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7" x14ac:dyDescent="0.25">
      <c r="F2" s="5" t="s">
        <v>10</v>
      </c>
      <c r="G2" s="6">
        <v>0</v>
      </c>
      <c r="H2" s="6">
        <f>G2+$C$4</f>
        <v>0.01</v>
      </c>
      <c r="I2" s="6">
        <f t="shared" ref="I2:Q2" si="0">H2+$C$4</f>
        <v>0.02</v>
      </c>
      <c r="J2" s="6">
        <f t="shared" si="0"/>
        <v>0.03</v>
      </c>
      <c r="K2" s="6">
        <f t="shared" si="0"/>
        <v>0.04</v>
      </c>
      <c r="L2" s="6">
        <f t="shared" si="0"/>
        <v>0.05</v>
      </c>
      <c r="M2" s="6">
        <f t="shared" si="0"/>
        <v>6.0000000000000005E-2</v>
      </c>
      <c r="N2" s="6">
        <f t="shared" si="0"/>
        <v>7.0000000000000007E-2</v>
      </c>
      <c r="O2" s="6">
        <f t="shared" si="0"/>
        <v>0.08</v>
      </c>
      <c r="P2" s="6">
        <f t="shared" si="0"/>
        <v>0.09</v>
      </c>
      <c r="Q2" s="6">
        <f t="shared" si="0"/>
        <v>9.9999999999999992E-2</v>
      </c>
    </row>
    <row r="3" spans="2:17" x14ac:dyDescent="0.25">
      <c r="B3" s="5" t="s">
        <v>0</v>
      </c>
      <c r="C3" s="5">
        <v>0.1</v>
      </c>
      <c r="F3" s="5" t="s">
        <v>3</v>
      </c>
      <c r="G3" s="1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1">
        <v>0.04</v>
      </c>
    </row>
    <row r="4" spans="2:17" x14ac:dyDescent="0.25">
      <c r="B4" s="5" t="s">
        <v>1</v>
      </c>
      <c r="C4" s="5">
        <f>C3/10</f>
        <v>0.01</v>
      </c>
      <c r="F4" s="5" t="s">
        <v>11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25">
      <c r="F5" s="5" t="s">
        <v>12</v>
      </c>
      <c r="G5" s="5">
        <v>41.952458170366562</v>
      </c>
      <c r="H5" s="5">
        <v>46.572722315258261</v>
      </c>
      <c r="I5" s="5">
        <v>51.998998595347025</v>
      </c>
      <c r="J5" s="5">
        <v>58.481574269464545</v>
      </c>
      <c r="K5" s="5">
        <v>66.327200919066215</v>
      </c>
      <c r="L5" s="5">
        <v>75.973877099938278</v>
      </c>
      <c r="M5" s="5">
        <v>88.075946290190913</v>
      </c>
      <c r="N5" s="5">
        <v>103.67585204999334</v>
      </c>
      <c r="O5" s="5">
        <v>124.60693830892183</v>
      </c>
      <c r="P5" s="5">
        <v>154.70189233611086</v>
      </c>
      <c r="Q5" s="5">
        <v>205.86732315098098</v>
      </c>
    </row>
    <row r="6" spans="2:17" x14ac:dyDescent="0.25">
      <c r="B6" s="5" t="s">
        <v>2</v>
      </c>
      <c r="C6" s="5">
        <v>1.4</v>
      </c>
      <c r="F6" s="5" t="s">
        <v>6</v>
      </c>
      <c r="G6" s="5">
        <v>133574.20645422692</v>
      </c>
      <c r="H6" s="5">
        <v>133226.28716879166</v>
      </c>
      <c r="I6" s="5">
        <v>132771.1614403399</v>
      </c>
      <c r="J6" s="5">
        <v>132161.66801093385</v>
      </c>
      <c r="K6" s="5">
        <v>131328.88571868328</v>
      </c>
      <c r="L6" s="5">
        <v>130163.60851596277</v>
      </c>
      <c r="M6" s="5">
        <v>128484.90473201471</v>
      </c>
      <c r="N6" s="5">
        <v>125974.38540805619</v>
      </c>
      <c r="O6" s="5">
        <v>122019.7344116298</v>
      </c>
      <c r="P6" s="5">
        <v>115251.08218729163</v>
      </c>
      <c r="Q6" s="5">
        <v>101325</v>
      </c>
    </row>
    <row r="7" spans="2:17" x14ac:dyDescent="0.25">
      <c r="B7" s="5" t="s">
        <v>3</v>
      </c>
      <c r="C7" s="5">
        <v>286.97199999999998</v>
      </c>
      <c r="F7" s="5" t="s">
        <v>13</v>
      </c>
      <c r="G7" s="5">
        <v>1.6202120766536134</v>
      </c>
      <c r="H7" s="5">
        <v>1.617138055023114</v>
      </c>
      <c r="I7" s="5">
        <v>1.6131097716441272</v>
      </c>
      <c r="J7" s="5">
        <v>1.6077031930153689</v>
      </c>
      <c r="K7" s="5">
        <v>1.6002958497504662</v>
      </c>
      <c r="L7" s="5">
        <v>1.5898957190694107</v>
      </c>
      <c r="M7" s="5">
        <v>1.5748467970151123</v>
      </c>
      <c r="N7" s="5">
        <v>1.5522053888257903</v>
      </c>
      <c r="O7" s="5">
        <v>1.5162304142338905</v>
      </c>
      <c r="P7" s="5">
        <v>1.4538157117758432</v>
      </c>
      <c r="Q7" s="5">
        <v>1.3221013290732198</v>
      </c>
    </row>
    <row r="8" spans="2:17" x14ac:dyDescent="0.25">
      <c r="B8" s="5" t="s">
        <v>4</v>
      </c>
      <c r="C8" s="5">
        <v>1004.4</v>
      </c>
    </row>
    <row r="10" spans="2:17" x14ac:dyDescent="0.25">
      <c r="B10" s="5" t="s">
        <v>5</v>
      </c>
      <c r="C10" s="5">
        <v>135000</v>
      </c>
      <c r="F10" s="5" t="s">
        <v>14</v>
      </c>
      <c r="G10" s="6">
        <f t="shared" ref="G10:Q10" si="3">G4*G7*G13</f>
        <v>1.366645195577177</v>
      </c>
      <c r="H10" s="6">
        <f t="shared" si="3"/>
        <v>1.3666347344859844</v>
      </c>
      <c r="I10" s="6">
        <f t="shared" si="3"/>
        <v>1.3660677312876293</v>
      </c>
      <c r="J10" s="6">
        <f t="shared" si="3"/>
        <v>1.3658167470418781</v>
      </c>
      <c r="K10" s="6">
        <f t="shared" si="3"/>
        <v>1.3658483209918184</v>
      </c>
      <c r="L10" s="6">
        <f t="shared" si="3"/>
        <v>1.3661125638138347</v>
      </c>
      <c r="M10" s="6">
        <f t="shared" si="3"/>
        <v>1.3665415729811596</v>
      </c>
      <c r="N10" s="6">
        <f t="shared" si="3"/>
        <v>1.3670502324775375</v>
      </c>
      <c r="O10" s="6">
        <f t="shared" si="3"/>
        <v>1.3675415476349411</v>
      </c>
      <c r="P10" s="6">
        <f t="shared" si="3"/>
        <v>1.3679195404148627</v>
      </c>
      <c r="Q10" s="6">
        <f t="shared" si="3"/>
        <v>1.3681132042596771</v>
      </c>
    </row>
    <row r="11" spans="2:17" x14ac:dyDescent="0.25">
      <c r="B11" s="5" t="s">
        <v>7</v>
      </c>
      <c r="C11" s="5">
        <v>288.16000000000003</v>
      </c>
      <c r="F11" s="5" t="s">
        <v>15</v>
      </c>
      <c r="G11" s="7">
        <v>0</v>
      </c>
      <c r="H11" s="7">
        <f>(H13)*(H10-I10)</f>
        <v>2.6406680375334817E-2</v>
      </c>
      <c r="I11" s="7">
        <f t="shared" ref="I11:P11" si="4">(I13)*(I10-J10)</f>
        <v>1.3050883318935809E-2</v>
      </c>
      <c r="J11" s="7">
        <f t="shared" si="4"/>
        <v>-1.8464934745265399E-3</v>
      </c>
      <c r="K11" s="7">
        <f t="shared" si="4"/>
        <v>-1.7526515140232776E-2</v>
      </c>
      <c r="L11" s="7">
        <f t="shared" si="4"/>
        <v>-3.2593578471585345E-2</v>
      </c>
      <c r="M11" s="7">
        <f t="shared" si="4"/>
        <v>-4.4800799783623488E-2</v>
      </c>
      <c r="N11" s="7">
        <f t="shared" si="4"/>
        <v>-5.0937648111299527E-2</v>
      </c>
      <c r="O11" s="7">
        <f t="shared" si="4"/>
        <v>-4.7100604677384694E-2</v>
      </c>
      <c r="P11" s="7">
        <f t="shared" si="4"/>
        <v>-2.9960186970414304E-2</v>
      </c>
      <c r="Q11" s="2">
        <v>0</v>
      </c>
    </row>
    <row r="12" spans="2:17" x14ac:dyDescent="0.25">
      <c r="B12" s="5" t="s">
        <v>6</v>
      </c>
      <c r="C12" s="5">
        <v>101325</v>
      </c>
    </row>
    <row r="13" spans="2:17" x14ac:dyDescent="0.25">
      <c r="F13" s="5" t="s">
        <v>12</v>
      </c>
      <c r="G13" s="2">
        <f>(H4*H5*H7)/(G4*G7)</f>
        <v>41.952134974927866</v>
      </c>
      <c r="H13" s="8">
        <f t="shared" ref="H13:Q13" si="5">((G6-H6)/H7+G5*H5)^0.5</f>
        <v>46.572365820758591</v>
      </c>
      <c r="I13" s="8">
        <f t="shared" si="5"/>
        <v>51.99881482550407</v>
      </c>
      <c r="J13" s="8">
        <f t="shared" si="5"/>
        <v>58.481548175462336</v>
      </c>
      <c r="K13" s="8">
        <f t="shared" si="5"/>
        <v>66.327308369234387</v>
      </c>
      <c r="L13" s="8">
        <f t="shared" si="5"/>
        <v>75.974083898539305</v>
      </c>
      <c r="M13" s="8">
        <f t="shared" si="5"/>
        <v>88.076208352825077</v>
      </c>
      <c r="N13" s="8">
        <f t="shared" si="5"/>
        <v>103.67611774994239</v>
      </c>
      <c r="O13" s="8">
        <f t="shared" si="5"/>
        <v>124.60715436719285</v>
      </c>
      <c r="P13" s="8">
        <f t="shared" si="5"/>
        <v>154.70201471594376</v>
      </c>
      <c r="Q13" s="8">
        <f t="shared" si="5"/>
        <v>205.86733253631789</v>
      </c>
    </row>
    <row r="14" spans="2:17" x14ac:dyDescent="0.25">
      <c r="B14" s="5" t="s">
        <v>8</v>
      </c>
      <c r="C14" s="5">
        <v>2000</v>
      </c>
      <c r="F14" s="5" t="s">
        <v>6</v>
      </c>
      <c r="G14" s="3">
        <f>C10-(G7*G13^2)/2</f>
        <v>133574.22825503966</v>
      </c>
      <c r="H14" s="10">
        <f>H6+H11</f>
        <v>133226.31357547204</v>
      </c>
      <c r="I14" s="10">
        <f t="shared" ref="I14:Q14" si="6">I6+I11</f>
        <v>132771.17449122321</v>
      </c>
      <c r="J14" s="10">
        <f t="shared" si="6"/>
        <v>132161.66616444036</v>
      </c>
      <c r="K14" s="10">
        <f t="shared" si="6"/>
        <v>131328.86819216813</v>
      </c>
      <c r="L14" s="10">
        <f t="shared" si="6"/>
        <v>130163.57592238429</v>
      </c>
      <c r="M14" s="10">
        <f t="shared" si="6"/>
        <v>128484.85993121493</v>
      </c>
      <c r="N14" s="10">
        <f t="shared" si="6"/>
        <v>125974.33447040808</v>
      </c>
      <c r="O14" s="10">
        <f t="shared" si="6"/>
        <v>122019.68731102513</v>
      </c>
      <c r="P14" s="10">
        <f t="shared" si="6"/>
        <v>115251.05222710465</v>
      </c>
      <c r="Q14" s="10">
        <f t="shared" si="6"/>
        <v>101325</v>
      </c>
    </row>
    <row r="15" spans="2:17" x14ac:dyDescent="0.25">
      <c r="F15" s="5" t="s">
        <v>13</v>
      </c>
      <c r="G15" s="5">
        <f>G14/($C$7*G17)</f>
        <v>1.6202122649570925</v>
      </c>
      <c r="H15" s="5">
        <f t="shared" ref="H15:Q15" si="7">H14/($C$7*H17)</f>
        <v>1.6171382824397458</v>
      </c>
      <c r="I15" s="5">
        <f t="shared" si="7"/>
        <v>1.613109876697655</v>
      </c>
      <c r="J15" s="5">
        <f t="shared" si="7"/>
        <v>1.6077031620263356</v>
      </c>
      <c r="K15" s="5">
        <f t="shared" si="7"/>
        <v>1.6002956758902236</v>
      </c>
      <c r="L15" s="5">
        <f t="shared" si="7"/>
        <v>1.5898954081272527</v>
      </c>
      <c r="M15" s="5">
        <f t="shared" si="7"/>
        <v>1.5748463751867776</v>
      </c>
      <c r="N15" s="5">
        <f t="shared" si="7"/>
        <v>1.5522049117211103</v>
      </c>
      <c r="O15" s="5">
        <f t="shared" si="7"/>
        <v>1.5162299738827569</v>
      </c>
      <c r="P15" s="5">
        <f t="shared" si="7"/>
        <v>1.453815433048117</v>
      </c>
      <c r="Q15" s="5">
        <f t="shared" si="7"/>
        <v>1.3221013385964215</v>
      </c>
    </row>
    <row r="17" spans="6:17" x14ac:dyDescent="0.25">
      <c r="F17" s="5" t="s">
        <v>16</v>
      </c>
      <c r="G17" s="8">
        <f>$C$11-(G13^2)/(2*$C$8)</f>
        <v>287.28386418311703</v>
      </c>
      <c r="H17" s="8">
        <f t="shared" ref="H17:Q17" si="8">$C$11-(H13^2)/(2*$C$8)</f>
        <v>287.08025823469609</v>
      </c>
      <c r="I17" s="8">
        <f t="shared" si="8"/>
        <v>286.81398409833878</v>
      </c>
      <c r="J17" s="8">
        <f t="shared" si="8"/>
        <v>286.45744550129484</v>
      </c>
      <c r="K17" s="8">
        <f t="shared" si="8"/>
        <v>285.96998016950045</v>
      </c>
      <c r="L17" s="8">
        <f t="shared" si="8"/>
        <v>285.28661219423424</v>
      </c>
      <c r="M17" s="8">
        <f t="shared" si="8"/>
        <v>284.29828231889178</v>
      </c>
      <c r="N17" s="8">
        <f t="shared" si="8"/>
        <v>282.80917493443854</v>
      </c>
      <c r="O17" s="8">
        <f t="shared" si="8"/>
        <v>280.43053817229719</v>
      </c>
      <c r="P17" s="8">
        <f t="shared" si="8"/>
        <v>276.24606463701116</v>
      </c>
      <c r="Q17" s="8">
        <f t="shared" si="8"/>
        <v>267.06215123177077</v>
      </c>
    </row>
    <row r="18" spans="6:17" x14ac:dyDescent="0.25">
      <c r="F18" s="5" t="s">
        <v>17</v>
      </c>
      <c r="G18" s="9">
        <f>SQRT($C$6*$C$7*G17)</f>
        <v>339.7343007429489</v>
      </c>
      <c r="H18" s="9">
        <f t="shared" ref="H18:Q18" si="9">SQRT($C$6*$C$7*H17)</f>
        <v>339.61388989936506</v>
      </c>
      <c r="I18" s="9">
        <f t="shared" si="9"/>
        <v>339.45635316272381</v>
      </c>
      <c r="J18" s="9">
        <f t="shared" si="9"/>
        <v>339.24529837649425</v>
      </c>
      <c r="K18" s="9">
        <f t="shared" si="9"/>
        <v>338.95652819924067</v>
      </c>
      <c r="L18" s="9">
        <f t="shared" si="9"/>
        <v>338.55129233905649</v>
      </c>
      <c r="M18" s="9">
        <f t="shared" si="9"/>
        <v>337.96435513684548</v>
      </c>
      <c r="N18" s="9">
        <f t="shared" si="9"/>
        <v>337.07809238958259</v>
      </c>
      <c r="O18" s="9">
        <f t="shared" si="9"/>
        <v>335.65755966540161</v>
      </c>
      <c r="P18" s="9">
        <f t="shared" si="9"/>
        <v>333.14387271180198</v>
      </c>
      <c r="Q18" s="9">
        <f t="shared" si="9"/>
        <v>327.55931299323061</v>
      </c>
    </row>
    <row r="19" spans="6:17" x14ac:dyDescent="0.25">
      <c r="F19" s="5" t="s">
        <v>18</v>
      </c>
      <c r="G19" s="7">
        <f>G13/G18</f>
        <v>0.12348513200811552</v>
      </c>
      <c r="H19" s="7">
        <f t="shared" ref="H19:Q19" si="10">H13/H18</f>
        <v>0.13713327754220828</v>
      </c>
      <c r="I19" s="7">
        <f t="shared" si="10"/>
        <v>0.15318262374832503</v>
      </c>
      <c r="J19" s="7">
        <f t="shared" si="10"/>
        <v>0.17238720316931128</v>
      </c>
      <c r="K19" s="7">
        <f t="shared" si="10"/>
        <v>0.19568087011513996</v>
      </c>
      <c r="L19" s="7">
        <f t="shared" si="10"/>
        <v>0.22440937493882568</v>
      </c>
      <c r="M19" s="7">
        <f t="shared" si="10"/>
        <v>0.260607981327386</v>
      </c>
      <c r="N19" s="7">
        <f t="shared" si="10"/>
        <v>0.3075729929968789</v>
      </c>
      <c r="O19" s="7">
        <f t="shared" si="10"/>
        <v>0.37123297473593864</v>
      </c>
      <c r="P19" s="7">
        <f t="shared" si="10"/>
        <v>0.46436998362498555</v>
      </c>
      <c r="Q19" s="7">
        <f t="shared" si="10"/>
        <v>0.62848871752448809</v>
      </c>
    </row>
    <row r="20" spans="6:17" x14ac:dyDescent="0.25">
      <c r="F20" s="5" t="s">
        <v>22</v>
      </c>
      <c r="G20" s="5">
        <f>1-((($C$6-1)/($C$6+1))*G21^2)</f>
        <v>0.99704053956027028</v>
      </c>
      <c r="H20" s="5">
        <f t="shared" ref="H20:Q20" si="11">1-((($C$6-1)/($C$6+1))*H21^2)</f>
        <v>0.99637522452798677</v>
      </c>
      <c r="I20" s="5">
        <f t="shared" si="11"/>
        <v>0.99551738512144528</v>
      </c>
      <c r="J20" s="5">
        <f t="shared" si="11"/>
        <v>0.99438996137486713</v>
      </c>
      <c r="K20" s="5">
        <f t="shared" si="11"/>
        <v>0.99288656085264948</v>
      </c>
      <c r="L20" s="5">
        <f t="shared" si="11"/>
        <v>0.99084969708373349</v>
      </c>
      <c r="M20" s="5">
        <f t="shared" si="11"/>
        <v>0.98804110858762784</v>
      </c>
      <c r="N20" s="5">
        <f t="shared" si="11"/>
        <v>0.98408998256156943</v>
      </c>
      <c r="O20" s="5">
        <f t="shared" si="11"/>
        <v>0.97839276991627533</v>
      </c>
      <c r="P20" s="5">
        <f t="shared" si="11"/>
        <v>0.96986758176308718</v>
      </c>
      <c r="Q20" s="5">
        <f t="shared" si="11"/>
        <v>0.95586604237998785</v>
      </c>
    </row>
    <row r="21" spans="6:17" x14ac:dyDescent="0.25">
      <c r="F21" s="5" t="s">
        <v>24</v>
      </c>
      <c r="G21" s="5">
        <f>SQRT(((($C$6+1)/2)*G19^2)/(1+2*G19^2))</f>
        <v>0.13325450325740634</v>
      </c>
      <c r="H21" s="5">
        <f>SQRT(((($C$6+1)/2)*H19^2)/(1+2*H19^2))</f>
        <v>0.14747424463979894</v>
      </c>
      <c r="I21" s="5">
        <f t="shared" ref="I21:Q21" si="12">SQRT(((($C$6+1)/2)*I19^2)/(1+2*I19^2))</f>
        <v>0.1639990526537525</v>
      </c>
      <c r="J21" s="5">
        <f t="shared" si="12"/>
        <v>0.18346724980442006</v>
      </c>
      <c r="K21" s="5">
        <f t="shared" si="12"/>
        <v>0.20659292070180635</v>
      </c>
      <c r="L21" s="5">
        <f t="shared" si="12"/>
        <v>0.23431136869046568</v>
      </c>
      <c r="M21" s="5">
        <f t="shared" si="12"/>
        <v>0.2678681550207731</v>
      </c>
      <c r="N21" s="5">
        <f t="shared" si="12"/>
        <v>0.30896618687258187</v>
      </c>
      <c r="O21" s="5">
        <f t="shared" si="12"/>
        <v>0.36006024565667927</v>
      </c>
      <c r="P21" s="5">
        <f t="shared" si="12"/>
        <v>0.42519937608312292</v>
      </c>
      <c r="Q21" s="5">
        <f t="shared" si="12"/>
        <v>0.51459085273649507</v>
      </c>
    </row>
    <row r="22" spans="6:17" x14ac:dyDescent="0.25">
      <c r="F22" s="5" t="s">
        <v>23</v>
      </c>
      <c r="G22" s="5">
        <f>(1-((($C$6-1)/($C$6+1))*G21^2))^($C$6/($C$6-1))</f>
        <v>0.98968014980824814</v>
      </c>
      <c r="H22" s="5">
        <f t="shared" ref="H22:Q22" si="13">(1-((($C$6-1)/($C$6+1))*H21^2))^($C$6/($C$6-1))</f>
        <v>0.98737066482633495</v>
      </c>
      <c r="I22" s="5">
        <f t="shared" si="13"/>
        <v>0.98439856153413363</v>
      </c>
      <c r="J22" s="5">
        <f t="shared" si="13"/>
        <v>0.98050217118689553</v>
      </c>
      <c r="K22" s="5">
        <f t="shared" si="13"/>
        <v>0.97532355574748653</v>
      </c>
      <c r="L22" s="5">
        <f t="shared" si="13"/>
        <v>0.96833857597726203</v>
      </c>
      <c r="M22" s="5">
        <f t="shared" si="13"/>
        <v>0.95876583536247673</v>
      </c>
      <c r="N22" s="5">
        <f t="shared" si="13"/>
        <v>0.94541358470102099</v>
      </c>
      <c r="O22" s="5">
        <f t="shared" si="13"/>
        <v>0.92639525404761391</v>
      </c>
      <c r="P22" s="5">
        <f t="shared" si="13"/>
        <v>0.89844925072464876</v>
      </c>
      <c r="Q22" s="5">
        <f t="shared" si="13"/>
        <v>0.85386579544090735</v>
      </c>
    </row>
    <row r="23" spans="6:17" x14ac:dyDescent="0.25">
      <c r="F23" s="5" t="s">
        <v>5</v>
      </c>
      <c r="G23" s="5">
        <f>G14/G22</f>
        <v>134967.06817947177</v>
      </c>
      <c r="H23" s="5">
        <f t="shared" ref="H23:Q23" si="14">H14/H22</f>
        <v>134930.39475596001</v>
      </c>
      <c r="I23" s="5">
        <f t="shared" si="14"/>
        <v>134875.42513705656</v>
      </c>
      <c r="J23" s="5">
        <f t="shared" si="14"/>
        <v>134789.77410571053</v>
      </c>
      <c r="K23" s="5">
        <f t="shared" si="14"/>
        <v>134651.5906626677</v>
      </c>
      <c r="L23" s="5">
        <f t="shared" si="14"/>
        <v>134419.48833962463</v>
      </c>
      <c r="M23" s="5">
        <f t="shared" si="14"/>
        <v>134010.67830357052</v>
      </c>
      <c r="N23" s="5">
        <f t="shared" si="14"/>
        <v>133247.85734938047</v>
      </c>
      <c r="O23" s="5">
        <f t="shared" si="14"/>
        <v>131714.4995917193</v>
      </c>
      <c r="P23" s="5">
        <f t="shared" si="14"/>
        <v>128277.7542906829</v>
      </c>
      <c r="Q23" s="5">
        <f t="shared" si="14"/>
        <v>118666.18916111893</v>
      </c>
    </row>
    <row r="30" spans="6:17" x14ac:dyDescent="0.25">
      <c r="L30" s="5"/>
      <c r="M30" s="5">
        <v>0</v>
      </c>
      <c r="N30" s="5">
        <v>2.5000000000000001E-2</v>
      </c>
      <c r="O30" s="5">
        <v>0.05</v>
      </c>
      <c r="P30" s="5">
        <v>7.4999999999999997E-2</v>
      </c>
      <c r="Q30" s="5">
        <v>0.1</v>
      </c>
    </row>
    <row r="31" spans="6:17" x14ac:dyDescent="0.25">
      <c r="L31" s="5" t="s">
        <v>19</v>
      </c>
      <c r="M31" s="5"/>
      <c r="N31" s="5"/>
      <c r="O31" s="5"/>
      <c r="P31" s="5"/>
      <c r="Q31" s="5"/>
    </row>
    <row r="32" spans="6:17" x14ac:dyDescent="0.25">
      <c r="L32" s="5" t="s">
        <v>20</v>
      </c>
      <c r="M32" s="5"/>
      <c r="N32" s="5"/>
      <c r="O32" s="5"/>
      <c r="P32" s="5"/>
      <c r="Q32" s="5"/>
    </row>
    <row r="33" spans="10:17" x14ac:dyDescent="0.25">
      <c r="J33" s="4"/>
      <c r="L33" s="5" t="s">
        <v>21</v>
      </c>
      <c r="M33" s="5"/>
      <c r="N33" s="5"/>
      <c r="O33" s="5"/>
      <c r="P33" s="5"/>
      <c r="Q33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Kuznetsov">
                <anchor moveWithCells="1">
                  <from>
                    <xdr:col>1</xdr:col>
                    <xdr:colOff>152400</xdr:colOff>
                    <xdr:row>21</xdr:row>
                    <xdr:rowOff>104775</xdr:rowOff>
                  </from>
                  <to>
                    <xdr:col>2</xdr:col>
                    <xdr:colOff>123825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Q26"/>
  <sheetViews>
    <sheetView workbookViewId="0">
      <selection activeCell="D17" sqref="D17"/>
    </sheetView>
  </sheetViews>
  <sheetFormatPr defaultRowHeight="15" x14ac:dyDescent="0.25"/>
  <sheetData>
    <row r="1" spans="2:17" x14ac:dyDescent="0.25">
      <c r="F1" s="5" t="s">
        <v>9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7" x14ac:dyDescent="0.25">
      <c r="F2" s="5" t="s">
        <v>10</v>
      </c>
      <c r="G2" s="6">
        <v>0</v>
      </c>
      <c r="H2" s="6">
        <f>G2+$C$4</f>
        <v>0.01</v>
      </c>
      <c r="I2" s="6">
        <f t="shared" ref="I2:Q2" si="0">H2+$C$4</f>
        <v>0.02</v>
      </c>
      <c r="J2" s="6">
        <f t="shared" si="0"/>
        <v>0.03</v>
      </c>
      <c r="K2" s="6">
        <f t="shared" si="0"/>
        <v>0.04</v>
      </c>
      <c r="L2" s="6">
        <f t="shared" si="0"/>
        <v>0.05</v>
      </c>
      <c r="M2" s="6">
        <f t="shared" si="0"/>
        <v>6.0000000000000005E-2</v>
      </c>
      <c r="N2" s="6">
        <f t="shared" si="0"/>
        <v>7.0000000000000007E-2</v>
      </c>
      <c r="O2" s="6">
        <f t="shared" si="0"/>
        <v>0.08</v>
      </c>
      <c r="P2" s="6">
        <f t="shared" si="0"/>
        <v>0.09</v>
      </c>
      <c r="Q2" s="6">
        <f t="shared" si="0"/>
        <v>9.9999999999999992E-2</v>
      </c>
    </row>
    <row r="3" spans="2:17" x14ac:dyDescent="0.25">
      <c r="B3" s="5" t="s">
        <v>0</v>
      </c>
      <c r="C3" s="5">
        <v>0.1</v>
      </c>
      <c r="F3" s="5" t="s">
        <v>3</v>
      </c>
      <c r="G3" s="1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1">
        <v>0.04</v>
      </c>
    </row>
    <row r="4" spans="2:17" x14ac:dyDescent="0.25">
      <c r="B4" s="5" t="s">
        <v>1</v>
      </c>
      <c r="C4" s="5">
        <f>C3/10</f>
        <v>0.01</v>
      </c>
      <c r="F4" s="5" t="s">
        <v>11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25">
      <c r="F5" s="5" t="s">
        <v>12</v>
      </c>
      <c r="G5" s="5">
        <v>18.944273569261043</v>
      </c>
      <c r="H5" s="5">
        <v>20.990934799549731</v>
      </c>
      <c r="I5" s="5">
        <v>23.39117590643561</v>
      </c>
      <c r="J5" s="5">
        <v>26.229099930013785</v>
      </c>
      <c r="K5" s="5">
        <v>29.616995339142132</v>
      </c>
      <c r="L5" s="5">
        <v>33.705605822659749</v>
      </c>
      <c r="M5" s="5">
        <v>38.701206277730499</v>
      </c>
      <c r="N5" s="5">
        <v>44.892282061714432</v>
      </c>
      <c r="O5" s="5">
        <v>52.692499523828559</v>
      </c>
      <c r="P5" s="5">
        <v>62.712330446678678</v>
      </c>
      <c r="Q5" s="5">
        <v>75.883218512377013</v>
      </c>
    </row>
    <row r="6" spans="2:17" x14ac:dyDescent="0.25">
      <c r="B6" s="5" t="s">
        <v>2</v>
      </c>
      <c r="C6" s="5">
        <v>1.4</v>
      </c>
      <c r="F6" s="5" t="s">
        <v>6</v>
      </c>
      <c r="G6" s="5">
        <v>104787.3603406178</v>
      </c>
      <c r="H6" s="5">
        <v>104736.44866412334</v>
      </c>
      <c r="I6" s="5">
        <v>104669.9135550607</v>
      </c>
      <c r="J6" s="5">
        <v>104581.70148547537</v>
      </c>
      <c r="K6" s="5">
        <v>104462.79332359144</v>
      </c>
      <c r="L6" s="5">
        <v>104299.48301972487</v>
      </c>
      <c r="M6" s="5">
        <v>104070.37387641847</v>
      </c>
      <c r="N6" s="5">
        <v>103741.01976956011</v>
      </c>
      <c r="O6" s="5">
        <v>103253.96574011008</v>
      </c>
      <c r="P6" s="5">
        <v>102509.34883194003</v>
      </c>
      <c r="Q6" s="5">
        <v>101325</v>
      </c>
    </row>
    <row r="7" spans="2:17" x14ac:dyDescent="0.25">
      <c r="B7" s="5" t="s">
        <v>3</v>
      </c>
      <c r="C7" s="5">
        <v>286.97199999999998</v>
      </c>
      <c r="F7" s="5" t="s">
        <v>13</v>
      </c>
      <c r="G7" s="5">
        <v>1.1850000000000001</v>
      </c>
      <c r="H7" s="5">
        <v>1.1850000000000001</v>
      </c>
      <c r="I7" s="5">
        <v>1.1850000000000001</v>
      </c>
      <c r="J7" s="5">
        <v>1.1850000000000001</v>
      </c>
      <c r="K7" s="5">
        <v>1.1850000000000001</v>
      </c>
      <c r="L7" s="5">
        <v>1.1850000000000001</v>
      </c>
      <c r="M7" s="5">
        <v>1.1850000000000001</v>
      </c>
      <c r="N7" s="5">
        <v>1.1850000000000001</v>
      </c>
      <c r="O7" s="5">
        <v>1.1850000000000001</v>
      </c>
      <c r="P7" s="5">
        <v>1.1850000000000001</v>
      </c>
      <c r="Q7" s="5">
        <v>1.1850000000000001</v>
      </c>
    </row>
    <row r="8" spans="2:17" x14ac:dyDescent="0.25">
      <c r="B8" s="5" t="s">
        <v>4</v>
      </c>
      <c r="C8" s="5">
        <v>1004.4</v>
      </c>
    </row>
    <row r="10" spans="2:17" x14ac:dyDescent="0.25">
      <c r="B10" s="5" t="s">
        <v>5</v>
      </c>
      <c r="C10" s="5">
        <v>105000</v>
      </c>
      <c r="F10" s="5" t="s">
        <v>14</v>
      </c>
      <c r="G10" s="6">
        <f>G4*G7*G13</f>
        <v>0.45136428030592041</v>
      </c>
      <c r="H10" s="6">
        <f>H4*H7*H13</f>
        <v>0.45136535982202247</v>
      </c>
      <c r="I10" s="6">
        <f t="shared" ref="I10:Q10" si="3">I4*I7*I13</f>
        <v>0.45142601608989436</v>
      </c>
      <c r="J10" s="6">
        <f t="shared" si="3"/>
        <v>0.45151357923153818</v>
      </c>
      <c r="K10" s="6">
        <f t="shared" si="3"/>
        <v>0.45161716988058254</v>
      </c>
      <c r="L10" s="6">
        <f t="shared" si="3"/>
        <v>0.45172477926016347</v>
      </c>
      <c r="M10" s="6">
        <f t="shared" si="3"/>
        <v>0.45182425908052332</v>
      </c>
      <c r="N10" s="6">
        <f t="shared" si="3"/>
        <v>0.45190492154445927</v>
      </c>
      <c r="O10" s="6">
        <f t="shared" si="3"/>
        <v>0.45195973029030462</v>
      </c>
      <c r="P10" s="6">
        <f t="shared" si="3"/>
        <v>0.45198769592315818</v>
      </c>
      <c r="Q10" s="6">
        <f t="shared" si="3"/>
        <v>0.45199537451195493</v>
      </c>
    </row>
    <row r="11" spans="2:17" x14ac:dyDescent="0.25">
      <c r="B11" s="5" t="s">
        <v>7</v>
      </c>
      <c r="C11" s="5">
        <v>288.16000000000003</v>
      </c>
      <c r="F11" s="5" t="s">
        <v>15</v>
      </c>
      <c r="G11" s="7">
        <v>0</v>
      </c>
      <c r="H11" s="7">
        <f>(H13)*(H10-I10)</f>
        <v>-1.2732348092377233E-3</v>
      </c>
      <c r="I11" s="7">
        <f t="shared" ref="I11:P11" si="4">(I13)*(I10-J10)</f>
        <v>-2.0482110433709508E-3</v>
      </c>
      <c r="J11" s="7">
        <f t="shared" si="4"/>
        <v>-2.7170981195736277E-3</v>
      </c>
      <c r="K11" s="7">
        <f t="shared" si="4"/>
        <v>-3.187075863691042E-3</v>
      </c>
      <c r="L11" s="7">
        <f t="shared" si="4"/>
        <v>-3.3530357422154357E-3</v>
      </c>
      <c r="M11" s="7">
        <f t="shared" si="4"/>
        <v>-3.1217401637776807E-3</v>
      </c>
      <c r="N11" s="7">
        <f t="shared" si="4"/>
        <v>-2.4604923851451474E-3</v>
      </c>
      <c r="O11" s="7">
        <f t="shared" si="4"/>
        <v>-1.4735799194372538E-3</v>
      </c>
      <c r="P11" s="7">
        <f t="shared" si="4"/>
        <v>-4.8154230518456062E-4</v>
      </c>
      <c r="Q11" s="2">
        <v>0</v>
      </c>
    </row>
    <row r="12" spans="2:17" x14ac:dyDescent="0.25">
      <c r="B12" s="5" t="s">
        <v>6</v>
      </c>
      <c r="C12" s="5">
        <v>101325</v>
      </c>
    </row>
    <row r="13" spans="2:17" x14ac:dyDescent="0.25">
      <c r="F13" s="5" t="s">
        <v>12</v>
      </c>
      <c r="G13" s="2">
        <f>(H4*H5*H7)/(G4*G7)</f>
        <v>18.944318656593634</v>
      </c>
      <c r="H13" s="8">
        <f t="shared" ref="H13:Q13" si="5">((G6-H6)/H7+G5*H5)^0.5</f>
        <v>20.990985003017538</v>
      </c>
      <c r="I13" s="8">
        <f t="shared" si="5"/>
        <v>23.391246646933169</v>
      </c>
      <c r="J13" s="8">
        <f t="shared" si="5"/>
        <v>26.229183277055121</v>
      </c>
      <c r="K13" s="8">
        <f t="shared" si="5"/>
        <v>29.617082415144949</v>
      </c>
      <c r="L13" s="8">
        <f t="shared" si="5"/>
        <v>33.705687546343334</v>
      </c>
      <c r="M13" s="8">
        <f t="shared" si="5"/>
        <v>38.70127456379624</v>
      </c>
      <c r="N13" s="8">
        <f t="shared" si="5"/>
        <v>44.892331455419011</v>
      </c>
      <c r="O13" s="8">
        <f t="shared" si="5"/>
        <v>52.692528974875373</v>
      </c>
      <c r="P13" s="8">
        <f t="shared" si="5"/>
        <v>62.712344407440831</v>
      </c>
      <c r="Q13" s="8">
        <f t="shared" si="5"/>
        <v>75.883225852584502</v>
      </c>
    </row>
    <row r="14" spans="2:17" x14ac:dyDescent="0.25">
      <c r="B14" s="5" t="s">
        <v>8</v>
      </c>
      <c r="C14" s="5">
        <v>2000</v>
      </c>
      <c r="F14" s="5" t="s">
        <v>6</v>
      </c>
      <c r="G14" s="3">
        <f>C10-(G7*G13^2)/2</f>
        <v>104787.35932845269</v>
      </c>
      <c r="H14" s="5">
        <f>H6+H11</f>
        <v>104736.44739088853</v>
      </c>
      <c r="I14" s="5">
        <f t="shared" ref="I14:Q14" si="6">I6+I11</f>
        <v>104669.91150684966</v>
      </c>
      <c r="J14" s="5">
        <f t="shared" si="6"/>
        <v>104581.69876837725</v>
      </c>
      <c r="K14" s="5">
        <f t="shared" si="6"/>
        <v>104462.79013651557</v>
      </c>
      <c r="L14" s="5">
        <f t="shared" si="6"/>
        <v>104299.47966668912</v>
      </c>
      <c r="M14" s="5">
        <f t="shared" si="6"/>
        <v>104070.3707546783</v>
      </c>
      <c r="N14" s="5">
        <f t="shared" si="6"/>
        <v>103741.01730906773</v>
      </c>
      <c r="O14" s="5">
        <f t="shared" si="6"/>
        <v>103253.96426653017</v>
      </c>
      <c r="P14" s="5">
        <f t="shared" si="6"/>
        <v>102509.34835039773</v>
      </c>
      <c r="Q14" s="2">
        <f t="shared" si="6"/>
        <v>101325</v>
      </c>
    </row>
    <row r="15" spans="2:17" x14ac:dyDescent="0.25">
      <c r="F15" s="5" t="s">
        <v>13</v>
      </c>
      <c r="G15" s="5">
        <v>1.1850000000000001</v>
      </c>
      <c r="H15" s="5">
        <v>1.1850000000000001</v>
      </c>
      <c r="I15" s="5">
        <v>1.1850000000000001</v>
      </c>
      <c r="J15" s="5">
        <v>1.1850000000000001</v>
      </c>
      <c r="K15" s="5">
        <v>1.1850000000000001</v>
      </c>
      <c r="L15" s="5">
        <v>1.1850000000000001</v>
      </c>
      <c r="M15" s="5">
        <v>1.1850000000000001</v>
      </c>
      <c r="N15" s="5">
        <v>1.1850000000000001</v>
      </c>
      <c r="O15" s="5">
        <v>1.1850000000000001</v>
      </c>
      <c r="P15" s="5">
        <v>1.1850000000000001</v>
      </c>
      <c r="Q15" s="5">
        <v>1.1850000000000001</v>
      </c>
    </row>
    <row r="17" spans="6:17" x14ac:dyDescent="0.25">
      <c r="F17" s="5" t="s">
        <v>16</v>
      </c>
      <c r="G17" s="8">
        <f>$C$11-(G13^2)/(2*$C$8)</f>
        <v>287.98134248836993</v>
      </c>
      <c r="H17" s="8">
        <f t="shared" ref="H17:Q17" si="7">$C$11-(H13^2)/(2*$C$8)</f>
        <v>287.94065439496376</v>
      </c>
      <c r="I17" s="8">
        <f t="shared" si="7"/>
        <v>287.88762324786063</v>
      </c>
      <c r="J17" s="8">
        <f t="shared" si="7"/>
        <v>287.81752187605468</v>
      </c>
      <c r="K17" s="8">
        <f t="shared" si="7"/>
        <v>287.72333553823904</v>
      </c>
      <c r="L17" s="8">
        <f t="shared" si="7"/>
        <v>287.59445172592012</v>
      </c>
      <c r="M17" s="8">
        <f t="shared" si="7"/>
        <v>287.41438637352536</v>
      </c>
      <c r="N17" s="8">
        <f t="shared" si="7"/>
        <v>287.15675357252928</v>
      </c>
      <c r="O17" s="8">
        <f t="shared" si="7"/>
        <v>286.77783024205098</v>
      </c>
      <c r="P17" s="8">
        <f t="shared" si="7"/>
        <v>286.20219527027211</v>
      </c>
      <c r="Q17" s="8">
        <f t="shared" si="7"/>
        <v>285.29348070201399</v>
      </c>
    </row>
    <row r="18" spans="6:17" x14ac:dyDescent="0.25">
      <c r="F18" s="5" t="s">
        <v>17</v>
      </c>
      <c r="G18" s="9">
        <f>SQRT($C$6*$C$7*G17)</f>
        <v>340.14646043021156</v>
      </c>
      <c r="H18" s="9">
        <f t="shared" ref="H18:Q18" si="8">SQRT($C$6*$C$7*H17)</f>
        <v>340.12243040153078</v>
      </c>
      <c r="I18" s="9">
        <f t="shared" si="8"/>
        <v>340.091108125689</v>
      </c>
      <c r="J18" s="9">
        <f t="shared" si="8"/>
        <v>340.04969907785716</v>
      </c>
      <c r="K18" s="9">
        <f t="shared" si="8"/>
        <v>339.9940550428953</v>
      </c>
      <c r="L18" s="9">
        <f t="shared" si="8"/>
        <v>339.91789744137782</v>
      </c>
      <c r="M18" s="9">
        <f t="shared" si="8"/>
        <v>339.8114680244571</v>
      </c>
      <c r="N18" s="9">
        <f t="shared" si="8"/>
        <v>339.65913360412111</v>
      </c>
      <c r="O18" s="9">
        <f t="shared" si="8"/>
        <v>339.43495768749364</v>
      </c>
      <c r="P18" s="9">
        <f t="shared" si="8"/>
        <v>339.0941210542299</v>
      </c>
      <c r="Q18" s="9">
        <f t="shared" si="8"/>
        <v>338.55536776371702</v>
      </c>
    </row>
    <row r="19" spans="6:17" x14ac:dyDescent="0.25">
      <c r="F19" s="5" t="s">
        <v>18</v>
      </c>
      <c r="G19" s="7">
        <f>G13/G18</f>
        <v>5.5694592948676215E-2</v>
      </c>
      <c r="H19" s="7">
        <f t="shared" ref="H19:Q19" si="9">H13/H18</f>
        <v>6.1715967918483584E-2</v>
      </c>
      <c r="I19" s="7">
        <f t="shared" si="9"/>
        <v>6.8779353790950515E-2</v>
      </c>
      <c r="J19" s="7">
        <f t="shared" si="9"/>
        <v>7.713338182090182E-2</v>
      </c>
      <c r="K19" s="7">
        <f t="shared" si="9"/>
        <v>8.7110589070177463E-2</v>
      </c>
      <c r="L19" s="7">
        <f t="shared" si="9"/>
        <v>9.9158319700292361E-2</v>
      </c>
      <c r="M19" s="7">
        <f t="shared" si="9"/>
        <v>0.11389043103457241</v>
      </c>
      <c r="N19" s="7">
        <f t="shared" si="9"/>
        <v>0.13216877455661721</v>
      </c>
      <c r="O19" s="7">
        <f t="shared" si="9"/>
        <v>0.15523601144048227</v>
      </c>
      <c r="P19" s="7">
        <f t="shared" si="9"/>
        <v>0.18494081882773636</v>
      </c>
      <c r="Q19" s="7">
        <f t="shared" si="9"/>
        <v>0.22413830373986146</v>
      </c>
    </row>
    <row r="23" spans="6:17" x14ac:dyDescent="0.25">
      <c r="L23" s="5"/>
      <c r="M23" s="5">
        <v>0</v>
      </c>
      <c r="N23" s="5">
        <v>2.5000000000000001E-2</v>
      </c>
      <c r="O23" s="5">
        <v>0.05</v>
      </c>
      <c r="P23" s="5">
        <v>7.4999999999999997E-2</v>
      </c>
      <c r="Q23" s="5">
        <v>0.1</v>
      </c>
    </row>
    <row r="24" spans="6:17" x14ac:dyDescent="0.25">
      <c r="L24" s="5" t="s">
        <v>19</v>
      </c>
      <c r="M24" s="5"/>
      <c r="N24" s="5"/>
      <c r="O24" s="5"/>
      <c r="P24" s="5"/>
      <c r="Q24" s="5"/>
    </row>
    <row r="25" spans="6:17" x14ac:dyDescent="0.25">
      <c r="L25" s="5" t="s">
        <v>20</v>
      </c>
      <c r="M25" s="5"/>
      <c r="N25" s="5"/>
      <c r="O25" s="5"/>
      <c r="P25" s="5"/>
      <c r="Q25" s="5"/>
    </row>
    <row r="26" spans="6:17" x14ac:dyDescent="0.25">
      <c r="L26" s="5" t="s">
        <v>21</v>
      </c>
      <c r="M26" s="5"/>
      <c r="N26" s="5"/>
      <c r="O26" s="5"/>
      <c r="P26" s="5"/>
      <c r="Q26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Kuznetsov">
                <anchor moveWithCells="1">
                  <from>
                    <xdr:col>1</xdr:col>
                    <xdr:colOff>219075</xdr:colOff>
                    <xdr:row>17</xdr:row>
                    <xdr:rowOff>104775</xdr:rowOff>
                  </from>
                  <to>
                    <xdr:col>2</xdr:col>
                    <xdr:colOff>190500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Q33"/>
  <sheetViews>
    <sheetView workbookViewId="0">
      <selection activeCell="C22" sqref="C22"/>
    </sheetView>
  </sheetViews>
  <sheetFormatPr defaultRowHeight="15" x14ac:dyDescent="0.25"/>
  <sheetData>
    <row r="1" spans="2:17" x14ac:dyDescent="0.25">
      <c r="F1" s="5" t="s">
        <v>9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7" x14ac:dyDescent="0.25">
      <c r="F2" s="5" t="s">
        <v>10</v>
      </c>
      <c r="G2" s="6">
        <v>0</v>
      </c>
      <c r="H2" s="6">
        <f>G2+$C$4</f>
        <v>0.01</v>
      </c>
      <c r="I2" s="6">
        <f t="shared" ref="I2:Q2" si="0">H2+$C$4</f>
        <v>0.02</v>
      </c>
      <c r="J2" s="6">
        <f t="shared" si="0"/>
        <v>0.03</v>
      </c>
      <c r="K2" s="6">
        <f t="shared" si="0"/>
        <v>0.04</v>
      </c>
      <c r="L2" s="6">
        <f t="shared" si="0"/>
        <v>0.05</v>
      </c>
      <c r="M2" s="6">
        <f t="shared" si="0"/>
        <v>6.0000000000000005E-2</v>
      </c>
      <c r="N2" s="6">
        <f t="shared" si="0"/>
        <v>7.0000000000000007E-2</v>
      </c>
      <c r="O2" s="6">
        <f t="shared" si="0"/>
        <v>0.08</v>
      </c>
      <c r="P2" s="6">
        <f t="shared" si="0"/>
        <v>0.09</v>
      </c>
      <c r="Q2" s="6">
        <f t="shared" si="0"/>
        <v>9.9999999999999992E-2</v>
      </c>
    </row>
    <row r="3" spans="2:17" x14ac:dyDescent="0.25">
      <c r="B3" s="5" t="s">
        <v>0</v>
      </c>
      <c r="C3" s="5">
        <v>0.1</v>
      </c>
      <c r="F3" s="5" t="s">
        <v>3</v>
      </c>
      <c r="G3" s="1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1">
        <v>0.04</v>
      </c>
    </row>
    <row r="4" spans="2:17" x14ac:dyDescent="0.25">
      <c r="B4" s="5" t="s">
        <v>1</v>
      </c>
      <c r="C4" s="5">
        <f>C3/10</f>
        <v>0.01</v>
      </c>
      <c r="F4" s="5" t="s">
        <v>11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25">
      <c r="F5" s="5" t="s">
        <v>12</v>
      </c>
      <c r="G5" s="5">
        <v>17.965677749011054</v>
      </c>
      <c r="H5" s="5">
        <v>19.913413805299584</v>
      </c>
      <c r="I5" s="5">
        <v>22.200045404994878</v>
      </c>
      <c r="J5" s="5">
        <v>24.90816735873263</v>
      </c>
      <c r="K5" s="5">
        <v>28.148271200498691</v>
      </c>
      <c r="L5" s="5">
        <v>32.070248179569305</v>
      </c>
      <c r="M5" s="5">
        <v>36.882190050039029</v>
      </c>
      <c r="N5" s="5">
        <v>42.881135090875794</v>
      </c>
      <c r="O5" s="5">
        <v>50.505904672857866</v>
      </c>
      <c r="P5" s="5">
        <v>60.433923409349447</v>
      </c>
      <c r="Q5" s="5">
        <v>73.774957760448117</v>
      </c>
    </row>
    <row r="6" spans="2:17" x14ac:dyDescent="0.25">
      <c r="B6" s="5" t="s">
        <v>2</v>
      </c>
      <c r="C6" s="5">
        <v>1.4</v>
      </c>
      <c r="F6" s="5" t="s">
        <v>6</v>
      </c>
      <c r="G6" s="5">
        <v>104795.37046284738</v>
      </c>
      <c r="H6" s="5">
        <v>104746.20531791639</v>
      </c>
      <c r="I6" s="5">
        <v>104681.8857714749</v>
      </c>
      <c r="J6" s="5">
        <v>104596.46859521579</v>
      </c>
      <c r="K6" s="5">
        <v>104481.07197642179</v>
      </c>
      <c r="L6" s="5">
        <v>104322.10705669131</v>
      </c>
      <c r="M6" s="5">
        <v>104098.16192725667</v>
      </c>
      <c r="N6" s="5">
        <v>103774.30941407706</v>
      </c>
      <c r="O6" s="5">
        <v>103291.16099902632</v>
      </c>
      <c r="P6" s="5">
        <v>102542.43320918738</v>
      </c>
      <c r="Q6" s="5">
        <v>101325</v>
      </c>
    </row>
    <row r="7" spans="2:17" x14ac:dyDescent="0.25">
      <c r="B7" s="5" t="s">
        <v>3</v>
      </c>
      <c r="C7" s="5">
        <v>286.97199999999998</v>
      </c>
      <c r="F7" s="5" t="s">
        <v>13</v>
      </c>
      <c r="G7" s="5">
        <v>1.2679762066181028</v>
      </c>
      <c r="H7" s="5">
        <v>1.2675429764889037</v>
      </c>
      <c r="I7" s="5">
        <v>1.2669755575208037</v>
      </c>
      <c r="J7" s="5">
        <v>1.266221046615267</v>
      </c>
      <c r="K7" s="5">
        <v>1.2652002232214405</v>
      </c>
      <c r="L7" s="5">
        <v>1.2637915969220439</v>
      </c>
      <c r="M7" s="5">
        <v>1.2618031955055427</v>
      </c>
      <c r="N7" s="5">
        <v>1.2589207925658019</v>
      </c>
      <c r="O7" s="5">
        <v>1.2546077778956615</v>
      </c>
      <c r="P7" s="5">
        <v>1.2478984257538666</v>
      </c>
      <c r="Q7" s="5">
        <v>1.2369330813723052</v>
      </c>
    </row>
    <row r="8" spans="2:17" x14ac:dyDescent="0.25">
      <c r="B8" s="5" t="s">
        <v>4</v>
      </c>
      <c r="C8" s="5">
        <v>1004.4</v>
      </c>
    </row>
    <row r="10" spans="2:17" x14ac:dyDescent="0.25">
      <c r="B10" s="5" t="s">
        <v>5</v>
      </c>
      <c r="C10" s="5">
        <v>105000</v>
      </c>
      <c r="F10" s="5" t="s">
        <v>14</v>
      </c>
      <c r="G10" s="6">
        <f t="shared" ref="G10:Q10" si="3">G4*G7*G13</f>
        <v>0.45802108266294694</v>
      </c>
      <c r="H10" s="6">
        <f t="shared" si="3"/>
        <v>0.45802205274429714</v>
      </c>
      <c r="I10" s="6">
        <f t="shared" si="3"/>
        <v>0.45807673534866261</v>
      </c>
      <c r="J10" s="6">
        <f t="shared" si="3"/>
        <v>0.45816340495744534</v>
      </c>
      <c r="K10" s="6">
        <f t="shared" si="3"/>
        <v>0.45827075232910464</v>
      </c>
      <c r="L10" s="6">
        <f t="shared" si="3"/>
        <v>0.45838593888599438</v>
      </c>
      <c r="M10" s="6">
        <f t="shared" si="3"/>
        <v>0.45849551753028378</v>
      </c>
      <c r="N10" s="6">
        <f t="shared" si="3"/>
        <v>0.45858704157640262</v>
      </c>
      <c r="O10" s="6">
        <f t="shared" si="3"/>
        <v>0.4586514358057997</v>
      </c>
      <c r="P10" s="6">
        <f t="shared" si="3"/>
        <v>0.45868587055653737</v>
      </c>
      <c r="Q10" s="6">
        <f t="shared" si="3"/>
        <v>0.4586961256338285</v>
      </c>
    </row>
    <row r="11" spans="2:17" x14ac:dyDescent="0.25">
      <c r="B11" s="5" t="s">
        <v>7</v>
      </c>
      <c r="C11" s="5">
        <v>288.16000000000003</v>
      </c>
      <c r="F11" s="5" t="s">
        <v>15</v>
      </c>
      <c r="G11" s="7">
        <v>0</v>
      </c>
      <c r="H11" s="7">
        <f>(H13)*(H10-I10)</f>
        <v>-1.0889196349907187E-3</v>
      </c>
      <c r="I11" s="7">
        <f t="shared" ref="I11:P11" si="4">(I13)*(I10-J10)</f>
        <v>-1.9240748799069811E-3</v>
      </c>
      <c r="J11" s="7">
        <f t="shared" si="4"/>
        <v>-2.6738348971043738E-3</v>
      </c>
      <c r="K11" s="7">
        <f t="shared" si="4"/>
        <v>-3.242312397185585E-3</v>
      </c>
      <c r="L11" s="7">
        <f t="shared" si="4"/>
        <v>-3.5142234567933513E-3</v>
      </c>
      <c r="M11" s="7">
        <f t="shared" si="4"/>
        <v>-3.3756138165896474E-3</v>
      </c>
      <c r="N11" s="7">
        <f t="shared" si="4"/>
        <v>-2.7613010784255558E-3</v>
      </c>
      <c r="O11" s="7">
        <f t="shared" si="4"/>
        <v>-1.7391593581165643E-3</v>
      </c>
      <c r="P11" s="7">
        <f t="shared" si="4"/>
        <v>-6.1975471239774076E-4</v>
      </c>
      <c r="Q11" s="2">
        <v>0</v>
      </c>
    </row>
    <row r="12" spans="2:17" x14ac:dyDescent="0.25">
      <c r="B12" s="5" t="s">
        <v>6</v>
      </c>
      <c r="C12" s="5">
        <v>101325</v>
      </c>
    </row>
    <row r="13" spans="2:17" x14ac:dyDescent="0.25">
      <c r="F13" s="5" t="s">
        <v>12</v>
      </c>
      <c r="G13" s="2">
        <f>(H4*H5*H7)/(G4*G7)</f>
        <v>17.96571550535436</v>
      </c>
      <c r="H13" s="8">
        <f t="shared" ref="H13:Q13" si="5">((G6-H6)/H7+G5*H5)^0.5</f>
        <v>19.913455981592517</v>
      </c>
      <c r="I13" s="8">
        <f t="shared" si="5"/>
        <v>22.200110360834749</v>
      </c>
      <c r="J13" s="8">
        <f t="shared" si="5"/>
        <v>24.908247456591255</v>
      </c>
      <c r="K13" s="8">
        <f t="shared" si="5"/>
        <v>28.148357627262506</v>
      </c>
      <c r="L13" s="8">
        <f t="shared" si="5"/>
        <v>32.070331583152644</v>
      </c>
      <c r="M13" s="8">
        <f t="shared" si="5"/>
        <v>36.882261654019779</v>
      </c>
      <c r="N13" s="8">
        <f t="shared" si="5"/>
        <v>42.881188334412563</v>
      </c>
      <c r="O13" s="8">
        <f t="shared" si="5"/>
        <v>50.505937196002144</v>
      </c>
      <c r="P13" s="8">
        <f t="shared" si="5"/>
        <v>60.433938702113757</v>
      </c>
      <c r="Q13" s="8">
        <f>((P6-Q6)/Q7+P5*Q5)^0.5</f>
        <v>73.774964942658258</v>
      </c>
    </row>
    <row r="14" spans="2:17" x14ac:dyDescent="0.25">
      <c r="B14" s="5" t="s">
        <v>8</v>
      </c>
      <c r="C14" s="5">
        <v>2000</v>
      </c>
      <c r="F14" s="5" t="s">
        <v>6</v>
      </c>
      <c r="G14" s="3">
        <f>C10-(G7*G13^2)/2</f>
        <v>104795.36960394381</v>
      </c>
      <c r="H14" s="10">
        <f>H6+H11</f>
        <v>104746.20422899675</v>
      </c>
      <c r="I14" s="10">
        <f t="shared" ref="I14:Q14" si="6">I6+I11</f>
        <v>104681.88384740002</v>
      </c>
      <c r="J14" s="10">
        <f t="shared" si="6"/>
        <v>104596.46592138089</v>
      </c>
      <c r="K14" s="10">
        <f t="shared" si="6"/>
        <v>104481.0687341094</v>
      </c>
      <c r="L14" s="10">
        <f t="shared" si="6"/>
        <v>104322.10354246786</v>
      </c>
      <c r="M14" s="10">
        <f t="shared" si="6"/>
        <v>104098.15855164286</v>
      </c>
      <c r="N14" s="10">
        <f t="shared" si="6"/>
        <v>103774.30665277598</v>
      </c>
      <c r="O14" s="10">
        <f t="shared" si="6"/>
        <v>103291.15925986697</v>
      </c>
      <c r="P14" s="10">
        <f t="shared" si="6"/>
        <v>102542.43258943266</v>
      </c>
      <c r="Q14" s="10">
        <f t="shared" si="6"/>
        <v>101325</v>
      </c>
    </row>
    <row r="15" spans="2:17" x14ac:dyDescent="0.25">
      <c r="F15" s="5" t="s">
        <v>13</v>
      </c>
      <c r="G15" s="5">
        <f>G14/($C$7*G17)</f>
        <v>1.2679761991991174</v>
      </c>
      <c r="H15" s="5">
        <f t="shared" ref="H15:Q15" si="7">H14/($C$7*H17)</f>
        <v>1.267542966992526</v>
      </c>
      <c r="I15" s="5">
        <f t="shared" si="7"/>
        <v>1.2669755405513954</v>
      </c>
      <c r="J15" s="5">
        <f t="shared" si="7"/>
        <v>1.2662210229841522</v>
      </c>
      <c r="K15" s="5">
        <f t="shared" si="7"/>
        <v>1.2652001946082072</v>
      </c>
      <c r="L15" s="5">
        <f t="shared" si="7"/>
        <v>1.2637915660498549</v>
      </c>
      <c r="M15" s="5">
        <f t="shared" si="7"/>
        <v>1.2618031661293456</v>
      </c>
      <c r="N15" s="5">
        <f t="shared" si="7"/>
        <v>1.2589207690301487</v>
      </c>
      <c r="O15" s="5">
        <f t="shared" si="7"/>
        <v>1.2546077639231541</v>
      </c>
      <c r="P15" s="5">
        <f t="shared" si="7"/>
        <v>1.2478984222218048</v>
      </c>
      <c r="Q15" s="5">
        <f t="shared" si="7"/>
        <v>1.2369330836583028</v>
      </c>
    </row>
    <row r="17" spans="6:17" x14ac:dyDescent="0.25">
      <c r="F17" s="5" t="s">
        <v>16</v>
      </c>
      <c r="G17" s="8">
        <f>$C$11-(G13^2)/(2*$C$8)</f>
        <v>287.99932350974746</v>
      </c>
      <c r="H17" s="8">
        <f t="shared" ref="H17:Q17" si="8">$C$11-(H13^2)/(2*$C$8)</f>
        <v>287.96259571429175</v>
      </c>
      <c r="I17" s="8">
        <f t="shared" si="8"/>
        <v>287.91465705892415</v>
      </c>
      <c r="J17" s="8">
        <f t="shared" si="8"/>
        <v>287.85114855069759</v>
      </c>
      <c r="K17" s="8">
        <f t="shared" si="8"/>
        <v>287.76557047136987</v>
      </c>
      <c r="L17" s="8">
        <f t="shared" si="8"/>
        <v>287.64799971731713</v>
      </c>
      <c r="M17" s="8">
        <f t="shared" si="8"/>
        <v>287.4828289403049</v>
      </c>
      <c r="N17" s="8">
        <f t="shared" si="8"/>
        <v>287.24462947382949</v>
      </c>
      <c r="O17" s="8">
        <f t="shared" si="8"/>
        <v>286.89016243924408</v>
      </c>
      <c r="P17" s="8">
        <f t="shared" si="8"/>
        <v>286.34186930154777</v>
      </c>
      <c r="Q17" s="8">
        <f t="shared" si="8"/>
        <v>285.45054885887572</v>
      </c>
    </row>
    <row r="18" spans="6:17" x14ac:dyDescent="0.25">
      <c r="F18" s="5" t="s">
        <v>17</v>
      </c>
      <c r="G18" s="9">
        <f>SQRT($C$6*$C$7*G17)</f>
        <v>340.15707932179646</v>
      </c>
      <c r="H18" s="9">
        <f t="shared" ref="H18:Q18" si="9">SQRT($C$6*$C$7*H17)</f>
        <v>340.13538896188152</v>
      </c>
      <c r="I18" s="9">
        <f t="shared" si="9"/>
        <v>340.10707571545612</v>
      </c>
      <c r="J18" s="9">
        <f t="shared" si="9"/>
        <v>340.06956306415765</v>
      </c>
      <c r="K18" s="9">
        <f t="shared" si="9"/>
        <v>340.01900800548481</v>
      </c>
      <c r="L18" s="9">
        <f t="shared" si="9"/>
        <v>339.94954108636341</v>
      </c>
      <c r="M18" s="9">
        <f t="shared" si="9"/>
        <v>339.85192561072836</v>
      </c>
      <c r="N18" s="9">
        <f t="shared" si="9"/>
        <v>339.71110098598382</v>
      </c>
      <c r="O18" s="9">
        <f t="shared" si="9"/>
        <v>339.50143029701752</v>
      </c>
      <c r="P18" s="9">
        <f t="shared" si="9"/>
        <v>339.1768542870891</v>
      </c>
      <c r="Q18" s="9">
        <f t="shared" si="9"/>
        <v>338.64855066865556</v>
      </c>
    </row>
    <row r="19" spans="6:17" x14ac:dyDescent="0.25">
      <c r="F19" s="5" t="s">
        <v>18</v>
      </c>
      <c r="G19" s="7">
        <f>G13/G18</f>
        <v>5.2815938863228475E-2</v>
      </c>
      <c r="H19" s="7">
        <f t="shared" ref="H19:Q19" si="10">H13/H18</f>
        <v>5.8545675127689191E-2</v>
      </c>
      <c r="I19" s="7">
        <f t="shared" si="10"/>
        <v>6.5273885625972791E-2</v>
      </c>
      <c r="J19" s="7">
        <f t="shared" si="10"/>
        <v>7.3244565706375955E-2</v>
      </c>
      <c r="K19" s="7">
        <f t="shared" si="10"/>
        <v>8.2784658988265883E-2</v>
      </c>
      <c r="L19" s="7">
        <f t="shared" si="10"/>
        <v>9.4338505298953323E-2</v>
      </c>
      <c r="M19" s="7">
        <f t="shared" si="10"/>
        <v>0.10852450398137596</v>
      </c>
      <c r="N19" s="7">
        <f t="shared" si="10"/>
        <v>0.12622839880696687</v>
      </c>
      <c r="O19" s="7">
        <f t="shared" si="10"/>
        <v>0.14876502037654546</v>
      </c>
      <c r="P19" s="7">
        <f t="shared" si="10"/>
        <v>0.17817825107535409</v>
      </c>
      <c r="Q19" s="7">
        <f>Q13/Q18</f>
        <v>0.21785111673146362</v>
      </c>
    </row>
    <row r="20" spans="6:17" x14ac:dyDescent="0.25">
      <c r="F20" s="5" t="s">
        <v>22</v>
      </c>
      <c r="G20" s="5">
        <f>1-((($C$6-1)/($C$6+1))*G21^2)</f>
        <v>0.9994451906278492</v>
      </c>
      <c r="H20" s="5">
        <f t="shared" ref="H20:Q20" si="11">1-((($C$6-1)/($C$6+1))*H21^2)</f>
        <v>0.99931914815499334</v>
      </c>
      <c r="I20" s="5">
        <f t="shared" si="11"/>
        <v>0.99915506397534504</v>
      </c>
      <c r="J20" s="5">
        <f t="shared" si="11"/>
        <v>0.99893843679612382</v>
      </c>
      <c r="K20" s="5">
        <f t="shared" si="11"/>
        <v>0.99864787310904413</v>
      </c>
      <c r="L20" s="5">
        <f t="shared" si="11"/>
        <v>0.99825117746287018</v>
      </c>
      <c r="M20" s="5">
        <f t="shared" si="11"/>
        <v>0.99769869398315969</v>
      </c>
      <c r="N20" s="5">
        <f t="shared" si="11"/>
        <v>0.99691169398586221</v>
      </c>
      <c r="O20" s="5">
        <f t="shared" si="11"/>
        <v>0.99576140279709935</v>
      </c>
      <c r="P20" s="5">
        <f t="shared" si="11"/>
        <v>0.9940295930298334</v>
      </c>
      <c r="Q20" s="5">
        <f t="shared" si="11"/>
        <v>0.99133102212098823</v>
      </c>
    </row>
    <row r="21" spans="6:17" x14ac:dyDescent="0.25">
      <c r="F21" s="5" t="s">
        <v>24</v>
      </c>
      <c r="G21" s="5">
        <f>SQRT(((($C$6+1)/2)*G19^2)/(1+2*G19^2))</f>
        <v>5.7696241063908013E-2</v>
      </c>
      <c r="H21" s="5">
        <f>SQRT(((($C$6+1)/2)*H19^2)/(1+2*H19^2))</f>
        <v>6.3914873621400858E-2</v>
      </c>
      <c r="I21" s="5">
        <f t="shared" ref="I21:Q21" si="12">SQRT(((($C$6+1)/2)*I19^2)/(1+2*I19^2))</f>
        <v>7.1201236983141639E-2</v>
      </c>
      <c r="J21" s="5">
        <f t="shared" si="12"/>
        <v>7.9808390682038655E-2</v>
      </c>
      <c r="K21" s="5">
        <f t="shared" si="12"/>
        <v>9.007086846331129E-2</v>
      </c>
      <c r="L21" s="5">
        <f t="shared" si="12"/>
        <v>0.10243502927601809</v>
      </c>
      <c r="M21" s="5">
        <f t="shared" si="12"/>
        <v>0.11750674917229943</v>
      </c>
      <c r="N21" s="5">
        <f t="shared" si="12"/>
        <v>0.13612434053036448</v>
      </c>
      <c r="O21" s="5">
        <f t="shared" si="12"/>
        <v>0.15947282908823032</v>
      </c>
      <c r="P21" s="5">
        <f t="shared" si="12"/>
        <v>0.18926817434793303</v>
      </c>
      <c r="Q21" s="5">
        <f t="shared" si="12"/>
        <v>0.22806548900276599</v>
      </c>
    </row>
    <row r="22" spans="6:17" x14ac:dyDescent="0.25">
      <c r="F22" s="5" t="s">
        <v>23</v>
      </c>
      <c r="G22" s="5">
        <f>(1-((($C$6-1)/($C$6+1))*G21^2))^($C$6/($C$6-1))</f>
        <v>0.99805951350771915</v>
      </c>
      <c r="H22" s="5">
        <f t="shared" ref="H22:Q22" si="13">(1-((($C$6-1)/($C$6+1))*H21^2))^($C$6/($C$6-1))</f>
        <v>0.99761904592377981</v>
      </c>
      <c r="I22" s="5">
        <f t="shared" si="13"/>
        <v>0.99704584598069135</v>
      </c>
      <c r="J22" s="5">
        <f t="shared" si="13"/>
        <v>0.99628945642929645</v>
      </c>
      <c r="K22" s="5">
        <f t="shared" si="13"/>
        <v>0.99527554905621063</v>
      </c>
      <c r="L22" s="5">
        <f t="shared" si="13"/>
        <v>0.99389248983628464</v>
      </c>
      <c r="M22" s="5">
        <f t="shared" si="13"/>
        <v>0.99196857232910385</v>
      </c>
      <c r="N22" s="5">
        <f t="shared" si="13"/>
        <v>0.98923259169120825</v>
      </c>
      <c r="O22" s="5">
        <f t="shared" si="13"/>
        <v>0.98524334326618301</v>
      </c>
      <c r="P22" s="5">
        <f t="shared" si="13"/>
        <v>0.97925906060631596</v>
      </c>
      <c r="Q22" s="5">
        <f t="shared" si="13"/>
        <v>0.96998594024949014</v>
      </c>
    </row>
    <row r="23" spans="6:17" x14ac:dyDescent="0.25">
      <c r="F23" s="5" t="s">
        <v>5</v>
      </c>
      <c r="G23" s="5">
        <f>G14/G22</f>
        <v>104999.11897601816</v>
      </c>
      <c r="H23" s="5">
        <f t="shared" ref="H23:Q23" si="14">H14/H22</f>
        <v>104996.19534829889</v>
      </c>
      <c r="I23" s="5">
        <f t="shared" si="14"/>
        <v>104992.04652363325</v>
      </c>
      <c r="J23" s="5">
        <f t="shared" si="14"/>
        <v>104986.02112708775</v>
      </c>
      <c r="K23" s="5">
        <f t="shared" si="14"/>
        <v>104977.02755099892</v>
      </c>
      <c r="L23" s="5">
        <f t="shared" si="14"/>
        <v>104963.16715266854</v>
      </c>
      <c r="M23" s="5">
        <f t="shared" si="14"/>
        <v>104940.9844781921</v>
      </c>
      <c r="N23" s="5">
        <f t="shared" si="14"/>
        <v>104903.84923060585</v>
      </c>
      <c r="O23" s="5">
        <f t="shared" si="14"/>
        <v>104838.22089824647</v>
      </c>
      <c r="P23" s="5">
        <f t="shared" si="14"/>
        <v>104714.30565671019</v>
      </c>
      <c r="Q23" s="5">
        <f t="shared" si="14"/>
        <v>104460.27699529148</v>
      </c>
    </row>
    <row r="30" spans="6:17" x14ac:dyDescent="0.25">
      <c r="L30" s="5"/>
      <c r="M30" s="5">
        <v>0</v>
      </c>
      <c r="N30" s="5">
        <v>2.5000000000000001E-2</v>
      </c>
      <c r="O30" s="5">
        <v>0.05</v>
      </c>
      <c r="P30" s="5">
        <v>7.4999999999999997E-2</v>
      </c>
      <c r="Q30" s="5">
        <v>0.1</v>
      </c>
    </row>
    <row r="31" spans="6:17" x14ac:dyDescent="0.25">
      <c r="L31" s="5" t="s">
        <v>19</v>
      </c>
      <c r="M31" s="5"/>
      <c r="N31" s="5"/>
      <c r="O31" s="5"/>
      <c r="P31" s="5"/>
      <c r="Q31" s="5"/>
    </row>
    <row r="32" spans="6:17" x14ac:dyDescent="0.25">
      <c r="L32" s="5" t="s">
        <v>20</v>
      </c>
      <c r="M32" s="5"/>
      <c r="N32" s="5"/>
      <c r="O32" s="5"/>
      <c r="P32" s="5"/>
      <c r="Q32" s="5"/>
    </row>
    <row r="33" spans="12:17" x14ac:dyDescent="0.25">
      <c r="L33" s="5" t="s">
        <v>21</v>
      </c>
      <c r="M33" s="5"/>
      <c r="N33" s="5"/>
      <c r="O33" s="5"/>
      <c r="P33" s="5"/>
      <c r="Q33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Kuznetsov">
                <anchor moveWithCells="1">
                  <from>
                    <xdr:col>1</xdr:col>
                    <xdr:colOff>361950</xdr:colOff>
                    <xdr:row>19</xdr:row>
                    <xdr:rowOff>180975</xdr:rowOff>
                  </from>
                  <to>
                    <xdr:col>2</xdr:col>
                    <xdr:colOff>333375</xdr:colOff>
                    <xdr:row>21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ro_const_p_135</vt:lpstr>
      <vt:lpstr>ro_var_p_135</vt:lpstr>
      <vt:lpstr>ro_const_p_105</vt:lpstr>
      <vt:lpstr>ro_var_p_105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Пользователь Windows</cp:lastModifiedBy>
  <dcterms:created xsi:type="dcterms:W3CDTF">2021-04-16T09:49:58Z</dcterms:created>
  <dcterms:modified xsi:type="dcterms:W3CDTF">2021-05-16T11:47:14Z</dcterms:modified>
</cp:coreProperties>
</file>